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mirez\Documents\Elecciones\"/>
    </mc:Choice>
  </mc:AlternateContent>
  <xr:revisionPtr revIDLastSave="0" documentId="8_{52AD630E-EA4A-4A2B-A6C7-0E7B0B5095E2}" xr6:coauthVersionLast="47" xr6:coauthVersionMax="47" xr10:uidLastSave="{00000000-0000-0000-0000-000000000000}"/>
  <bookViews>
    <workbookView xWindow="-120" yWindow="-120" windowWidth="29040" windowHeight="15840" activeTab="2" xr2:uid="{B15F934B-39FD-4D01-BE87-D9ECDD605D6B}"/>
  </bookViews>
  <sheets>
    <sheet name="Votos por partido" sheetId="1" r:id="rId1"/>
    <sheet name="Resumen" sheetId="2" r:id="rId2"/>
    <sheet name="2021" sheetId="3" r:id="rId3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0" i="2" l="1"/>
  <c r="H120" i="2"/>
  <c r="J120" i="2"/>
  <c r="K59" i="2"/>
  <c r="I59" i="2"/>
  <c r="H91" i="2"/>
  <c r="H90" i="2"/>
  <c r="H89" i="2"/>
  <c r="H88" i="2"/>
  <c r="E90" i="2"/>
  <c r="E89" i="2"/>
  <c r="E88" i="2"/>
  <c r="J57" i="2"/>
  <c r="H57" i="2"/>
  <c r="J88" i="2"/>
  <c r="F88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V134" i="1"/>
  <c r="V114" i="1"/>
  <c r="V104" i="1"/>
  <c r="V94" i="1"/>
  <c r="V84" i="1"/>
  <c r="V74" i="1"/>
  <c r="V64" i="1"/>
  <c r="H87" i="2"/>
  <c r="H86" i="2"/>
  <c r="H85" i="2"/>
  <c r="H84" i="2"/>
  <c r="V54" i="1"/>
  <c r="J53" i="2"/>
  <c r="J52" i="2"/>
  <c r="J51" i="2"/>
  <c r="H53" i="2"/>
  <c r="H52" i="2"/>
  <c r="H51" i="2"/>
  <c r="J49" i="2"/>
  <c r="J48" i="2"/>
  <c r="J47" i="2"/>
  <c r="H49" i="2"/>
  <c r="H48" i="2"/>
  <c r="H47" i="2"/>
  <c r="J45" i="2"/>
  <c r="J44" i="2"/>
  <c r="J43" i="2"/>
  <c r="H45" i="2"/>
  <c r="H44" i="2"/>
  <c r="H43" i="2"/>
  <c r="J41" i="2"/>
  <c r="J40" i="2"/>
  <c r="J39" i="2"/>
  <c r="H41" i="2"/>
  <c r="H40" i="2"/>
  <c r="H39" i="2"/>
  <c r="J37" i="2"/>
  <c r="J36" i="2"/>
  <c r="J35" i="2"/>
  <c r="H37" i="2"/>
  <c r="H36" i="2"/>
  <c r="H35" i="2"/>
  <c r="J33" i="2"/>
  <c r="J32" i="2"/>
  <c r="J31" i="2"/>
  <c r="H33" i="2"/>
  <c r="H32" i="2"/>
  <c r="H31" i="2"/>
  <c r="J28" i="2"/>
  <c r="J27" i="2"/>
  <c r="H29" i="2"/>
  <c r="H28" i="2"/>
  <c r="H27" i="2"/>
  <c r="I55" i="2"/>
  <c r="J25" i="2"/>
  <c r="H25" i="2"/>
  <c r="J24" i="2"/>
  <c r="H24" i="2"/>
  <c r="J23" i="2"/>
  <c r="H23" i="2"/>
  <c r="K55" i="2"/>
  <c r="E119" i="2"/>
  <c r="E118" i="2"/>
  <c r="E117" i="2"/>
  <c r="E116" i="2"/>
  <c r="E114" i="2"/>
  <c r="E113" i="2"/>
  <c r="E112" i="2"/>
  <c r="E115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87" i="2"/>
  <c r="E86" i="2"/>
  <c r="E85" i="2"/>
  <c r="E84" i="2"/>
  <c r="N115" i="1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F115" i="1"/>
  <c r="F107" i="1"/>
  <c r="F99" i="1"/>
  <c r="F91" i="1"/>
  <c r="F83" i="1"/>
  <c r="F75" i="1"/>
  <c r="F67" i="1"/>
  <c r="F59" i="1"/>
  <c r="F51" i="1"/>
  <c r="J100" i="2" l="1"/>
  <c r="J116" i="2"/>
  <c r="K23" i="2"/>
  <c r="I43" i="2"/>
  <c r="J112" i="2"/>
  <c r="K39" i="2"/>
  <c r="J108" i="2"/>
  <c r="J104" i="2"/>
  <c r="J96" i="2"/>
  <c r="J92" i="2"/>
  <c r="J84" i="2"/>
  <c r="F104" i="2"/>
  <c r="F108" i="2"/>
  <c r="F116" i="2"/>
  <c r="F55" i="2"/>
  <c r="I47" i="2"/>
  <c r="I23" i="2"/>
  <c r="K27" i="2"/>
  <c r="K47" i="2"/>
  <c r="I51" i="2"/>
  <c r="K51" i="2"/>
  <c r="K43" i="2"/>
  <c r="I39" i="2"/>
  <c r="K31" i="2"/>
  <c r="K35" i="2"/>
  <c r="I35" i="2"/>
  <c r="I31" i="2"/>
  <c r="I27" i="2"/>
  <c r="F84" i="2"/>
  <c r="F100" i="2"/>
  <c r="F96" i="2"/>
  <c r="F112" i="2"/>
  <c r="F92" i="2"/>
  <c r="F27" i="2"/>
  <c r="F23" i="2"/>
  <c r="F31" i="2"/>
  <c r="F35" i="2"/>
  <c r="F39" i="2"/>
  <c r="F43" i="2"/>
  <c r="F47" i="2"/>
  <c r="F51" i="2"/>
  <c r="L59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V44" i="1"/>
  <c r="V34" i="1"/>
  <c r="V24" i="1"/>
  <c r="V14" i="1"/>
  <c r="V4" i="1"/>
  <c r="G80" i="2"/>
  <c r="E83" i="2"/>
  <c r="E82" i="2"/>
  <c r="E81" i="2"/>
  <c r="E80" i="2"/>
  <c r="E79" i="2"/>
  <c r="E78" i="2"/>
  <c r="E77" i="2"/>
  <c r="E76" i="2"/>
  <c r="G76" i="2"/>
  <c r="G72" i="2"/>
  <c r="G68" i="2"/>
  <c r="E75" i="2"/>
  <c r="E74" i="2"/>
  <c r="E73" i="2"/>
  <c r="E72" i="2"/>
  <c r="E71" i="2"/>
  <c r="E70" i="2"/>
  <c r="E69" i="2"/>
  <c r="E68" i="2"/>
  <c r="G64" i="2"/>
  <c r="E67" i="2"/>
  <c r="E66" i="2"/>
  <c r="E65" i="2"/>
  <c r="E64" i="2"/>
  <c r="K19" i="2"/>
  <c r="I19" i="2"/>
  <c r="G19" i="2"/>
  <c r="E22" i="2"/>
  <c r="E21" i="2"/>
  <c r="E20" i="2"/>
  <c r="E19" i="2"/>
  <c r="K15" i="2"/>
  <c r="K11" i="2"/>
  <c r="K7" i="2"/>
  <c r="K3" i="2"/>
  <c r="I15" i="2"/>
  <c r="G15" i="2"/>
  <c r="E18" i="2"/>
  <c r="E17" i="2"/>
  <c r="E16" i="2"/>
  <c r="E15" i="2"/>
  <c r="I11" i="2"/>
  <c r="I7" i="2"/>
  <c r="I3" i="2"/>
  <c r="G11" i="2"/>
  <c r="E14" i="2"/>
  <c r="E13" i="2"/>
  <c r="E12" i="2"/>
  <c r="E11" i="2"/>
  <c r="G7" i="2"/>
  <c r="E10" i="2"/>
  <c r="E9" i="2"/>
  <c r="E8" i="2"/>
  <c r="E7" i="2"/>
  <c r="E6" i="2"/>
  <c r="E5" i="2"/>
  <c r="F43" i="1"/>
  <c r="F35" i="1"/>
  <c r="F27" i="1"/>
  <c r="F19" i="1"/>
  <c r="G120" i="2" l="1"/>
  <c r="G59" i="2"/>
  <c r="J80" i="2"/>
  <c r="J64" i="2"/>
  <c r="J68" i="2"/>
  <c r="J72" i="2"/>
  <c r="J76" i="2"/>
  <c r="F11" i="2"/>
  <c r="F15" i="2"/>
  <c r="F68" i="2"/>
  <c r="F72" i="2"/>
  <c r="F3" i="2"/>
  <c r="F7" i="2"/>
  <c r="F19" i="2"/>
  <c r="F64" i="2"/>
  <c r="F76" i="2"/>
  <c r="F80" i="2"/>
  <c r="F120" i="2" l="1"/>
  <c r="F59" i="2"/>
  <c r="L51" i="2" l="1"/>
  <c r="L47" i="2"/>
  <c r="L27" i="2"/>
  <c r="L43" i="2"/>
  <c r="L39" i="2"/>
  <c r="L31" i="2"/>
  <c r="L23" i="2"/>
  <c r="L55" i="2"/>
  <c r="L35" i="2"/>
</calcChain>
</file>

<file path=xl/sharedStrings.xml><?xml version="1.0" encoding="utf-8"?>
<sst xmlns="http://schemas.openxmlformats.org/spreadsheetml/2006/main" count="1585" uniqueCount="99">
  <si>
    <t>Circuito</t>
  </si>
  <si>
    <t>SANTA ROSA</t>
  </si>
  <si>
    <t>Categoria</t>
  </si>
  <si>
    <t>Destino</t>
  </si>
  <si>
    <t>Cantidad</t>
  </si>
  <si>
    <t xml:space="preserve">TOTAL </t>
  </si>
  <si>
    <t>PADRON</t>
  </si>
  <si>
    <t>9 y 10</t>
  </si>
  <si>
    <t>Diputado Nac.</t>
  </si>
  <si>
    <t>PJ</t>
  </si>
  <si>
    <t>Humanista</t>
  </si>
  <si>
    <t>Partido de los Trabajadores Soc.</t>
  </si>
  <si>
    <t>FREPAM</t>
  </si>
  <si>
    <t>Izquierda al Frente por el Soc.</t>
  </si>
  <si>
    <t xml:space="preserve">Cambiemos </t>
  </si>
  <si>
    <t>Nulo</t>
  </si>
  <si>
    <t>Blanco</t>
  </si>
  <si>
    <t>Paso 2017</t>
  </si>
  <si>
    <t>GENERAL PICO</t>
  </si>
  <si>
    <t>GRAL ACHA</t>
  </si>
  <si>
    <t>EDUARDO CASTEX</t>
  </si>
  <si>
    <t>TOAY</t>
  </si>
  <si>
    <t>Otros</t>
  </si>
  <si>
    <t>Nulos y blancos</t>
  </si>
  <si>
    <t>Total</t>
  </si>
  <si>
    <t>Votos Senadores</t>
  </si>
  <si>
    <t>Votos Diputados</t>
  </si>
  <si>
    <t>Toay</t>
  </si>
  <si>
    <t>GENERAL 2017</t>
  </si>
  <si>
    <t>GENERAL 2019</t>
  </si>
  <si>
    <t>Gobernador</t>
  </si>
  <si>
    <t>Cambiemos - FREPAM</t>
  </si>
  <si>
    <t>Comunidad organizada</t>
  </si>
  <si>
    <t>Pueblo Nuevo</t>
  </si>
  <si>
    <t>Partido socialista</t>
  </si>
  <si>
    <t xml:space="preserve">Frente popular pampeano </t>
  </si>
  <si>
    <t>Movimiento socialista de los trabajadores</t>
  </si>
  <si>
    <t xml:space="preserve">Desde el pie </t>
  </si>
  <si>
    <t>General  2017</t>
  </si>
  <si>
    <t>Cambiemos</t>
  </si>
  <si>
    <t>General  2019</t>
  </si>
  <si>
    <t>57 y 58</t>
  </si>
  <si>
    <t>Padron</t>
  </si>
  <si>
    <t>PADRÓN</t>
  </si>
  <si>
    <t>Gral Pico</t>
  </si>
  <si>
    <t>Gral Acha</t>
  </si>
  <si>
    <t>E. Castex</t>
  </si>
  <si>
    <t>PASO 2021</t>
  </si>
  <si>
    <t>CNIA. 25 DE MAYO</t>
  </si>
  <si>
    <t>INT. ALVEAR</t>
  </si>
  <si>
    <t>REALICO</t>
  </si>
  <si>
    <t>VICTORICA</t>
  </si>
  <si>
    <t>GUATRACHE</t>
  </si>
  <si>
    <t>MACACHIN</t>
  </si>
  <si>
    <t>ING. LUIGGI</t>
  </si>
  <si>
    <t>CATRILO</t>
  </si>
  <si>
    <t>QUEMU QUEMU</t>
  </si>
  <si>
    <t>Realico</t>
  </si>
  <si>
    <t>Victorica</t>
  </si>
  <si>
    <t>Guatrache</t>
  </si>
  <si>
    <t>Macachín</t>
  </si>
  <si>
    <t>Catrilo</t>
  </si>
  <si>
    <t>Quemú Quemú</t>
  </si>
  <si>
    <t>LOCALIDAD: SANTA ROSA</t>
  </si>
  <si>
    <t>AGRUPACION:</t>
  </si>
  <si>
    <t>VOTOS SEN</t>
  </si>
  <si>
    <t>% SEN</t>
  </si>
  <si>
    <t>VOTOS DIP</t>
  </si>
  <si>
    <t>% DIP</t>
  </si>
  <si>
    <t>JUNTOS POR EL CAMBIO</t>
  </si>
  <si>
    <t>FRENTE DE TODOS</t>
  </si>
  <si>
    <t>OTROS</t>
  </si>
  <si>
    <t>LOCALIDAD: GENERAL PICO</t>
  </si>
  <si>
    <t>%SEN</t>
  </si>
  <si>
    <t>%DIP</t>
  </si>
  <si>
    <t>JUNTOS POR EL CAMBIO:</t>
  </si>
  <si>
    <t>FRENTE DE TODOS:</t>
  </si>
  <si>
    <t>OTROS:</t>
  </si>
  <si>
    <t>11 ,60%</t>
  </si>
  <si>
    <t>LOCALIDAD: GENERAL ACHA</t>
  </si>
  <si>
    <t>LOCALIDAD: TOAY</t>
  </si>
  <si>
    <t>11 ,80%</t>
  </si>
  <si>
    <t>LOCALIDAD: EDUARDO CASTEX</t>
  </si>
  <si>
    <t>LOCALIDAD: 25 DE MAYO</t>
  </si>
  <si>
    <t>LOCALIDAD: INTENDENTE ALVEAR</t>
  </si>
  <si>
    <t>LOCALIDAD: INGENIERO LUIGGI</t>
  </si>
  <si>
    <t>LOCALIDAD: REALICO</t>
  </si>
  <si>
    <t>5.50%</t>
  </si>
  <si>
    <t>LOCALIDAD: VICTORICA</t>
  </si>
  <si>
    <t xml:space="preserve"> 8.60%</t>
  </si>
  <si>
    <t>LOCALIDAD: GUATRACHE</t>
  </si>
  <si>
    <t>LOCALIDAD: MACACHIN</t>
  </si>
  <si>
    <t>6.20%</t>
  </si>
  <si>
    <t>LOCALIDAD: CATRILO</t>
  </si>
  <si>
    <t>25 de Mayo</t>
  </si>
  <si>
    <t>Int. Alvear</t>
  </si>
  <si>
    <t>ing.Luiggi</t>
  </si>
  <si>
    <t>Ing. Luiggi</t>
  </si>
  <si>
    <t>CAMBIEMOS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</si>
</sst>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6"/>
      <name val="Book Antiqua"/>
      <family val="1"/>
    </font>
    <font>
      <sz val="16"/>
      <color theme="1"/>
      <name val="Book Antiqua"/>
      <family val="1"/>
    </font>
    <font>
      <sz val="10"/>
      <name val="Book Antiqua"/>
      <family val="1"/>
    </font>
    <font>
      <b/>
      <sz val="16"/>
      <color theme="1"/>
      <name val="Book Antiqua"/>
      <family val="1"/>
    </font>
    <font>
      <b/>
      <sz val="16"/>
      <name val="Book Antiqua"/>
      <family val="1"/>
    </font>
    <font>
      <b/>
      <u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8"/>
      <name val="Arial"/>
    </font>
    <font>
      <sz val="8"/>
      <color rgb="FF000000"/>
      <name val="Arial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rgb="FFFCE5C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CE5CD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rgb="FFFCE5C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/>
    <xf numFmtId="0" fontId="4" fillId="0" borderId="1" xfId="0" applyFont="1" applyBorder="1"/>
    <xf numFmtId="0" fontId="2" fillId="5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8" borderId="1" xfId="0" applyFont="1" applyFill="1" applyBorder="1"/>
    <xf numFmtId="0" fontId="5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5" fillId="1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right"/>
    </xf>
    <xf numFmtId="0" fontId="4" fillId="12" borderId="1" xfId="0" applyFont="1" applyFill="1" applyBorder="1"/>
    <xf numFmtId="0" fontId="0" fillId="8" borderId="1" xfId="0" applyFill="1" applyBorder="1"/>
    <xf numFmtId="0" fontId="0" fillId="0" borderId="1" xfId="0" applyBorder="1"/>
    <xf numFmtId="0" fontId="0" fillId="5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7" fillId="8" borderId="10" xfId="0" applyFont="1" applyFill="1" applyBorder="1" applyAlignment="1">
      <alignment horizontal="right"/>
    </xf>
    <xf numFmtId="0" fontId="7" fillId="12" borderId="11" xfId="0" applyFont="1" applyFill="1" applyBorder="1"/>
    <xf numFmtId="0" fontId="7" fillId="8" borderId="11" xfId="0" applyFont="1" applyFill="1" applyBorder="1"/>
    <xf numFmtId="0" fontId="8" fillId="8" borderId="11" xfId="0" applyFont="1" applyFill="1" applyBorder="1"/>
    <xf numFmtId="0" fontId="7" fillId="8" borderId="13" xfId="0" applyFont="1" applyFill="1" applyBorder="1" applyAlignment="1">
      <alignment horizontal="right"/>
    </xf>
    <xf numFmtId="0" fontId="7" fillId="12" borderId="1" xfId="0" applyFont="1" applyFill="1" applyBorder="1"/>
    <xf numFmtId="0" fontId="7" fillId="8" borderId="1" xfId="0" applyFont="1" applyFill="1" applyBorder="1"/>
    <xf numFmtId="0" fontId="8" fillId="8" borderId="1" xfId="0" applyFont="1" applyFill="1" applyBorder="1"/>
    <xf numFmtId="0" fontId="7" fillId="8" borderId="14" xfId="0" applyFont="1" applyFill="1" applyBorder="1" applyAlignment="1">
      <alignment horizontal="right"/>
    </xf>
    <xf numFmtId="0" fontId="7" fillId="12" borderId="15" xfId="0" applyFont="1" applyFill="1" applyBorder="1"/>
    <xf numFmtId="0" fontId="7" fillId="8" borderId="15" xfId="0" applyFont="1" applyFill="1" applyBorder="1"/>
    <xf numFmtId="0" fontId="8" fillId="8" borderId="15" xfId="0" applyFont="1" applyFill="1" applyBorder="1"/>
    <xf numFmtId="0" fontId="7" fillId="0" borderId="10" xfId="0" applyFont="1" applyFill="1" applyBorder="1" applyAlignment="1">
      <alignment horizontal="right"/>
    </xf>
    <xf numFmtId="0" fontId="7" fillId="0" borderId="1" xfId="0" applyFont="1" applyFill="1" applyBorder="1"/>
    <xf numFmtId="0" fontId="7" fillId="0" borderId="11" xfId="0" applyFont="1" applyFill="1" applyBorder="1"/>
    <xf numFmtId="0" fontId="8" fillId="0" borderId="11" xfId="0" applyFont="1" applyBorder="1"/>
    <xf numFmtId="0" fontId="7" fillId="0" borderId="13" xfId="0" applyFont="1" applyFill="1" applyBorder="1" applyAlignment="1">
      <alignment horizontal="right"/>
    </xf>
    <xf numFmtId="0" fontId="8" fillId="0" borderId="1" xfId="0" applyFont="1" applyBorder="1"/>
    <xf numFmtId="0" fontId="8" fillId="0" borderId="1" xfId="0" applyFont="1" applyFill="1" applyBorder="1"/>
    <xf numFmtId="0" fontId="7" fillId="0" borderId="14" xfId="0" applyFont="1" applyFill="1" applyBorder="1" applyAlignment="1">
      <alignment horizontal="right"/>
    </xf>
    <xf numFmtId="0" fontId="7" fillId="0" borderId="15" xfId="0" applyFont="1" applyFill="1" applyBorder="1"/>
    <xf numFmtId="0" fontId="8" fillId="0" borderId="15" xfId="0" applyFont="1" applyFill="1" applyBorder="1"/>
    <xf numFmtId="0" fontId="8" fillId="0" borderId="15" xfId="0" applyFont="1" applyBorder="1"/>
    <xf numFmtId="0" fontId="8" fillId="8" borderId="10" xfId="0" applyFont="1" applyFill="1" applyBorder="1"/>
    <xf numFmtId="0" fontId="8" fillId="8" borderId="13" xfId="0" applyFont="1" applyFill="1" applyBorder="1"/>
    <xf numFmtId="0" fontId="8" fillId="8" borderId="14" xfId="0" applyFont="1" applyFill="1" applyBorder="1"/>
    <xf numFmtId="0" fontId="8" fillId="0" borderId="10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3" xfId="0" applyFont="1" applyFill="1" applyBorder="1"/>
    <xf numFmtId="0" fontId="8" fillId="0" borderId="14" xfId="0" applyFont="1" applyFill="1" applyBorder="1"/>
    <xf numFmtId="0" fontId="9" fillId="2" borderId="1" xfId="0" applyFont="1" applyFill="1" applyBorder="1"/>
    <xf numFmtId="0" fontId="8" fillId="0" borderId="0" xfId="0" applyFont="1"/>
    <xf numFmtId="0" fontId="10" fillId="0" borderId="7" xfId="0" applyFont="1" applyBorder="1"/>
    <xf numFmtId="0" fontId="10" fillId="0" borderId="0" xfId="0" applyFont="1"/>
    <xf numFmtId="0" fontId="10" fillId="0" borderId="1" xfId="0" applyFont="1" applyBorder="1"/>
    <xf numFmtId="0" fontId="11" fillId="9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center" vertical="center"/>
    </xf>
    <xf numFmtId="0" fontId="1" fillId="0" borderId="0" xfId="0" applyFont="1"/>
    <xf numFmtId="0" fontId="1" fillId="14" borderId="0" xfId="0" applyFont="1" applyFill="1"/>
    <xf numFmtId="0" fontId="1" fillId="15" borderId="0" xfId="0" applyFont="1" applyFill="1"/>
    <xf numFmtId="0" fontId="12" fillId="16" borderId="1" xfId="0" applyFont="1" applyFill="1" applyBorder="1"/>
    <xf numFmtId="0" fontId="1" fillId="0" borderId="1" xfId="0" applyFont="1" applyBorder="1"/>
    <xf numFmtId="3" fontId="0" fillId="0" borderId="1" xfId="0" applyNumberFormat="1" applyBorder="1"/>
    <xf numFmtId="10" fontId="0" fillId="0" borderId="1" xfId="0" applyNumberFormat="1" applyBorder="1"/>
    <xf numFmtId="3" fontId="1" fillId="0" borderId="1" xfId="0" applyNumberFormat="1" applyFont="1" applyBorder="1"/>
    <xf numFmtId="0" fontId="1" fillId="17" borderId="0" xfId="0" applyFont="1" applyFill="1"/>
    <xf numFmtId="9" fontId="0" fillId="0" borderId="1" xfId="0" applyNumberFormat="1" applyBorder="1"/>
    <xf numFmtId="0" fontId="13" fillId="9" borderId="1" xfId="0" applyFont="1" applyFill="1" applyBorder="1"/>
    <xf numFmtId="0" fontId="7" fillId="0" borderId="12" xfId="0" applyFont="1" applyFill="1" applyBorder="1"/>
    <xf numFmtId="0" fontId="7" fillId="0" borderId="7" xfId="0" applyFont="1" applyFill="1" applyBorder="1"/>
    <xf numFmtId="0" fontId="14" fillId="0" borderId="1" xfId="0" applyFont="1" applyBorder="1" applyAlignment="1">
      <alignment horizontal="right"/>
    </xf>
    <xf numFmtId="0" fontId="14" fillId="2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4" fillId="8" borderId="1" xfId="0" applyFont="1" applyFill="1" applyBorder="1" applyAlignment="1">
      <alignment horizontal="right"/>
    </xf>
    <xf numFmtId="0" fontId="14" fillId="12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right"/>
    </xf>
    <xf numFmtId="0" fontId="0" fillId="18" borderId="0" xfId="0" applyFill="1"/>
    <xf numFmtId="3" fontId="8" fillId="0" borderId="11" xfId="0" applyNumberFormat="1" applyFont="1" applyFill="1" applyBorder="1"/>
    <xf numFmtId="3" fontId="8" fillId="0" borderId="1" xfId="0" applyNumberFormat="1" applyFont="1" applyFill="1" applyBorder="1"/>
    <xf numFmtId="3" fontId="8" fillId="8" borderId="11" xfId="0" applyNumberFormat="1" applyFont="1" applyFill="1" applyBorder="1"/>
    <xf numFmtId="3" fontId="8" fillId="8" borderId="1" xfId="0" applyNumberFormat="1" applyFont="1" applyFill="1" applyBorder="1"/>
    <xf numFmtId="0" fontId="4" fillId="8" borderId="6" xfId="0" applyFont="1" applyFill="1" applyBorder="1"/>
    <xf numFmtId="0" fontId="4" fillId="12" borderId="6" xfId="0" applyFont="1" applyFill="1" applyBorder="1"/>
    <xf numFmtId="0" fontId="2" fillId="8" borderId="1" xfId="0" applyFont="1" applyFill="1" applyBorder="1"/>
    <xf numFmtId="0" fontId="2" fillId="12" borderId="1" xfId="0" applyFont="1" applyFill="1" applyBorder="1"/>
    <xf numFmtId="0" fontId="8" fillId="0" borderId="26" xfId="0" applyFont="1" applyFill="1" applyBorder="1"/>
    <xf numFmtId="0" fontId="7" fillId="0" borderId="6" xfId="0" applyFont="1" applyFill="1" applyBorder="1"/>
    <xf numFmtId="0" fontId="8" fillId="0" borderId="6" xfId="0" applyFont="1" applyFill="1" applyBorder="1"/>
    <xf numFmtId="0" fontId="8" fillId="0" borderId="27" xfId="0" applyFont="1" applyFill="1" applyBorder="1"/>
    <xf numFmtId="0" fontId="8" fillId="0" borderId="7" xfId="0" applyFont="1" applyFill="1" applyBorder="1"/>
    <xf numFmtId="0" fontId="10" fillId="4" borderId="17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4" borderId="17" xfId="0" applyFont="1" applyFill="1" applyBorder="1" applyAlignment="1"/>
    <xf numFmtId="0" fontId="10" fillId="4" borderId="20" xfId="0" applyFont="1" applyFill="1" applyBorder="1" applyAlignment="1"/>
    <xf numFmtId="1" fontId="7" fillId="8" borderId="11" xfId="1" applyNumberFormat="1" applyFont="1" applyFill="1" applyBorder="1"/>
    <xf numFmtId="0" fontId="10" fillId="4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5" fillId="13" borderId="1" xfId="0" applyFont="1" applyFill="1" applyBorder="1" applyAlignment="1">
      <alignment horizontal="center"/>
    </xf>
    <xf numFmtId="0" fontId="0" fillId="8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13" borderId="6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1" fillId="9" borderId="0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3" fontId="8" fillId="0" borderId="12" xfId="0" applyNumberFormat="1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8" fillId="8" borderId="23" xfId="0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7" fillId="8" borderId="1" xfId="0" applyNumberFormat="1" applyFont="1" applyFill="1" applyBorder="1"/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COMPARATIVO</a:t>
            </a:r>
            <a:r>
              <a:rPr lang="es-AR" baseline="0"/>
              <a:t> TOTAL DE VOTOS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Resumen!$L$131</c:f>
              <c:strCache>
                <c:ptCount val="1"/>
                <c:pt idx="0">
                  <c:v>PJ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Resumen!$M$130:$Q$130</c:f>
              <c:strCache>
                <c:ptCount val="4"/>
                <c:pt idx="0">
                  <c:v>Paso 2017</c:v>
                </c:pt>
                <c:pt idx="1">
                  <c:v>PASO 2021</c:v>
                </c:pt>
                <c:pt idx="2">
                  <c:v>GENERAL 2017</c:v>
                </c:pt>
                <c:pt idx="3">
                  <c:v>GENERAL 2019</c:v>
                </c:pt>
              </c:strCache>
            </c:strRef>
          </c:cat>
          <c:val>
            <c:numRef>
              <c:f>Resumen!$M$131:$Q$131</c:f>
              <c:numCache>
                <c:formatCode>General</c:formatCode>
                <c:ptCount val="5"/>
                <c:pt idx="0">
                  <c:v>22866</c:v>
                </c:pt>
                <c:pt idx="1">
                  <c:v>24519</c:v>
                </c:pt>
                <c:pt idx="2" formatCode="0">
                  <c:v>29146</c:v>
                </c:pt>
                <c:pt idx="3">
                  <c:v>33285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F-4A06-8485-5973845A0AF3}"/>
            </c:ext>
          </c:extLst>
        </c:ser>
        <c:ser>
          <c:idx val="1"/>
          <c:order val="1"/>
          <c:tx>
            <c:strRef>
              <c:f>Resumen!$L$132</c:f>
              <c:strCache>
                <c:ptCount val="1"/>
                <c:pt idx="0">
                  <c:v>CAMBIEMOS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Resumen!$M$130:$Q$130</c:f>
              <c:strCache>
                <c:ptCount val="4"/>
                <c:pt idx="0">
                  <c:v>Paso 2017</c:v>
                </c:pt>
                <c:pt idx="1">
                  <c:v>PASO 2021</c:v>
                </c:pt>
                <c:pt idx="2">
                  <c:v>GENERAL 2017</c:v>
                </c:pt>
                <c:pt idx="3">
                  <c:v>GENERAL 2019</c:v>
                </c:pt>
              </c:strCache>
            </c:strRef>
          </c:cat>
          <c:val>
            <c:numRef>
              <c:f>Resumen!$M$132:$Q$132</c:f>
              <c:numCache>
                <c:formatCode>General</c:formatCode>
                <c:ptCount val="5"/>
                <c:pt idx="0">
                  <c:v>30769</c:v>
                </c:pt>
                <c:pt idx="1">
                  <c:v>26837</c:v>
                </c:pt>
                <c:pt idx="2" formatCode="0.00">
                  <c:v>28965</c:v>
                </c:pt>
                <c:pt idx="3">
                  <c:v>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F-4A06-8485-5973845A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540031"/>
        <c:axId val="1820536703"/>
      </c:barChart>
      <c:catAx>
        <c:axId val="182054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0536703"/>
        <c:crosses val="autoZero"/>
        <c:auto val="1"/>
        <c:lblAlgn val="ctr"/>
        <c:lblOffset val="100"/>
        <c:noMultiLvlLbl val="0"/>
      </c:catAx>
      <c:valAx>
        <c:axId val="18205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054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130</xdr:row>
      <xdr:rowOff>42862</xdr:rowOff>
    </xdr:from>
    <xdr:to>
      <xdr:col>4</xdr:col>
      <xdr:colOff>447675</xdr:colOff>
      <xdr:row>143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482B0F-94C1-4992-98E4-8F7B669CD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CCB0-EDDA-4C36-9F4A-C1B8A1A6BFFC}">
  <dimension ref="A2:W143"/>
  <sheetViews>
    <sheetView topLeftCell="H16" workbookViewId="0">
      <selection activeCell="U6" sqref="U6"/>
    </sheetView>
  </sheetViews>
  <sheetFormatPr baseColWidth="10" defaultRowHeight="15" x14ac:dyDescent="0.25"/>
  <cols>
    <col min="1" max="7" width="0" hidden="1" customWidth="1"/>
  </cols>
  <sheetData>
    <row r="2" spans="1:23" x14ac:dyDescent="0.25">
      <c r="A2" s="119" t="s">
        <v>17</v>
      </c>
      <c r="B2" s="119"/>
      <c r="C2" s="119"/>
      <c r="D2" s="119"/>
      <c r="E2" s="119"/>
      <c r="F2" s="119"/>
      <c r="G2" s="119"/>
      <c r="I2" s="119" t="s">
        <v>38</v>
      </c>
      <c r="J2" s="119"/>
      <c r="K2" s="119"/>
      <c r="L2" s="119"/>
      <c r="M2" s="119"/>
      <c r="N2" s="119"/>
      <c r="O2" s="119"/>
      <c r="Q2" s="119" t="s">
        <v>40</v>
      </c>
      <c r="R2" s="119"/>
      <c r="S2" s="119"/>
      <c r="T2" s="119"/>
      <c r="U2" s="119"/>
      <c r="V2" s="119"/>
      <c r="W2" s="119"/>
    </row>
    <row r="3" spans="1:23" x14ac:dyDescent="0.25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4" t="s">
        <v>6</v>
      </c>
      <c r="I3" s="2" t="s">
        <v>0</v>
      </c>
      <c r="J3" s="3" t="s">
        <v>1</v>
      </c>
      <c r="K3" s="2" t="s">
        <v>2</v>
      </c>
      <c r="L3" s="2" t="s">
        <v>3</v>
      </c>
      <c r="M3" s="2" t="s">
        <v>4</v>
      </c>
      <c r="N3" s="2" t="s">
        <v>5</v>
      </c>
      <c r="O3" s="4" t="s">
        <v>6</v>
      </c>
      <c r="Q3" s="2" t="s">
        <v>0</v>
      </c>
      <c r="R3" s="3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4" t="s">
        <v>6</v>
      </c>
    </row>
    <row r="4" spans="1:23" x14ac:dyDescent="0.25">
      <c r="A4" s="8" t="s">
        <v>7</v>
      </c>
      <c r="B4" s="9" t="s">
        <v>1</v>
      </c>
      <c r="C4" s="10" t="s">
        <v>8</v>
      </c>
      <c r="D4" s="10" t="s">
        <v>9</v>
      </c>
      <c r="E4" s="10">
        <v>22866</v>
      </c>
      <c r="F4" s="11"/>
      <c r="G4" s="117">
        <v>90619</v>
      </c>
      <c r="I4" s="19" t="s">
        <v>7</v>
      </c>
      <c r="J4" s="20" t="s">
        <v>1</v>
      </c>
      <c r="K4" s="21" t="s">
        <v>8</v>
      </c>
      <c r="L4" s="21" t="s">
        <v>9</v>
      </c>
      <c r="M4" s="22">
        <v>29146</v>
      </c>
      <c r="N4" s="21"/>
      <c r="O4" s="115">
        <v>90619</v>
      </c>
      <c r="Q4" s="24" t="s">
        <v>7</v>
      </c>
      <c r="R4" s="25" t="s">
        <v>1</v>
      </c>
      <c r="S4" s="14" t="s">
        <v>30</v>
      </c>
      <c r="T4" s="14" t="s">
        <v>9</v>
      </c>
      <c r="U4" s="14">
        <v>33285</v>
      </c>
      <c r="V4" s="122">
        <f>SUM(U4:U13)</f>
        <v>65565</v>
      </c>
      <c r="W4" s="128">
        <v>90434</v>
      </c>
    </row>
    <row r="5" spans="1:23" x14ac:dyDescent="0.25">
      <c r="A5" s="8" t="s">
        <v>7</v>
      </c>
      <c r="B5" s="9" t="s">
        <v>1</v>
      </c>
      <c r="C5" s="10" t="s">
        <v>8</v>
      </c>
      <c r="D5" s="10" t="s">
        <v>10</v>
      </c>
      <c r="E5" s="10">
        <v>2397</v>
      </c>
      <c r="F5" s="11"/>
      <c r="G5" s="118"/>
      <c r="I5" s="19" t="s">
        <v>7</v>
      </c>
      <c r="J5" s="20" t="s">
        <v>1</v>
      </c>
      <c r="K5" s="21" t="s">
        <v>8</v>
      </c>
      <c r="L5" s="21" t="s">
        <v>10</v>
      </c>
      <c r="M5" s="22">
        <v>2051</v>
      </c>
      <c r="N5" s="21"/>
      <c r="O5" s="116"/>
      <c r="Q5" s="24" t="s">
        <v>7</v>
      </c>
      <c r="R5" s="25" t="s">
        <v>1</v>
      </c>
      <c r="S5" s="14" t="s">
        <v>30</v>
      </c>
      <c r="T5" s="14" t="s">
        <v>31</v>
      </c>
      <c r="U5" s="14">
        <v>16400</v>
      </c>
      <c r="V5" s="123"/>
      <c r="W5" s="129"/>
    </row>
    <row r="6" spans="1:23" x14ac:dyDescent="0.25">
      <c r="A6" s="8" t="s">
        <v>7</v>
      </c>
      <c r="B6" s="9" t="s">
        <v>1</v>
      </c>
      <c r="C6" s="10" t="s">
        <v>8</v>
      </c>
      <c r="D6" s="10" t="s">
        <v>11</v>
      </c>
      <c r="E6" s="10">
        <v>1989</v>
      </c>
      <c r="F6" s="11"/>
      <c r="G6" s="118"/>
      <c r="I6" s="19" t="s">
        <v>7</v>
      </c>
      <c r="J6" s="20" t="s">
        <v>1</v>
      </c>
      <c r="K6" s="21" t="s">
        <v>8</v>
      </c>
      <c r="L6" s="21" t="s">
        <v>11</v>
      </c>
      <c r="M6" s="22">
        <v>2160</v>
      </c>
      <c r="N6" s="21"/>
      <c r="O6" s="116"/>
      <c r="Q6" s="24" t="s">
        <v>7</v>
      </c>
      <c r="R6" s="25" t="s">
        <v>1</v>
      </c>
      <c r="S6" s="14" t="s">
        <v>30</v>
      </c>
      <c r="T6" s="14" t="s">
        <v>32</v>
      </c>
      <c r="U6" s="14">
        <v>7012</v>
      </c>
      <c r="V6" s="123"/>
      <c r="W6" s="129"/>
    </row>
    <row r="7" spans="1:23" x14ac:dyDescent="0.25">
      <c r="A7" s="8" t="s">
        <v>7</v>
      </c>
      <c r="B7" s="9" t="s">
        <v>1</v>
      </c>
      <c r="C7" s="10" t="s">
        <v>8</v>
      </c>
      <c r="D7" s="10" t="s">
        <v>12</v>
      </c>
      <c r="E7" s="10">
        <v>2448</v>
      </c>
      <c r="F7" s="11"/>
      <c r="G7" s="118"/>
      <c r="I7" s="19" t="s">
        <v>7</v>
      </c>
      <c r="J7" s="20" t="s">
        <v>1</v>
      </c>
      <c r="K7" s="21" t="s">
        <v>8</v>
      </c>
      <c r="L7" s="21" t="s">
        <v>12</v>
      </c>
      <c r="M7" s="22">
        <v>2075</v>
      </c>
      <c r="N7" s="21"/>
      <c r="O7" s="116"/>
      <c r="Q7" s="24" t="s">
        <v>7</v>
      </c>
      <c r="R7" s="25" t="s">
        <v>1</v>
      </c>
      <c r="S7" s="14" t="s">
        <v>30</v>
      </c>
      <c r="T7" s="14" t="s">
        <v>33</v>
      </c>
      <c r="U7" s="14">
        <v>2216</v>
      </c>
      <c r="V7" s="123"/>
      <c r="W7" s="129"/>
    </row>
    <row r="8" spans="1:23" x14ac:dyDescent="0.25">
      <c r="A8" s="8" t="s">
        <v>7</v>
      </c>
      <c r="B8" s="9" t="s">
        <v>1</v>
      </c>
      <c r="C8" s="10" t="s">
        <v>8</v>
      </c>
      <c r="D8" s="10" t="s">
        <v>13</v>
      </c>
      <c r="E8" s="10">
        <v>1479</v>
      </c>
      <c r="F8" s="11"/>
      <c r="G8" s="118"/>
      <c r="I8" s="19" t="s">
        <v>7</v>
      </c>
      <c r="J8" s="20" t="s">
        <v>1</v>
      </c>
      <c r="K8" s="21" t="s">
        <v>8</v>
      </c>
      <c r="L8" s="21" t="s">
        <v>13</v>
      </c>
      <c r="M8" s="22">
        <v>1794</v>
      </c>
      <c r="N8" s="21"/>
      <c r="O8" s="116"/>
      <c r="Q8" s="24" t="s">
        <v>7</v>
      </c>
      <c r="R8" s="25" t="s">
        <v>1</v>
      </c>
      <c r="S8" s="14" t="s">
        <v>30</v>
      </c>
      <c r="T8" s="14" t="s">
        <v>16</v>
      </c>
      <c r="U8" s="14">
        <v>1706</v>
      </c>
      <c r="V8" s="123"/>
      <c r="W8" s="129"/>
    </row>
    <row r="9" spans="1:23" x14ac:dyDescent="0.25">
      <c r="A9" s="8" t="s">
        <v>7</v>
      </c>
      <c r="B9" s="9" t="s">
        <v>1</v>
      </c>
      <c r="C9" s="10" t="s">
        <v>8</v>
      </c>
      <c r="D9" s="10" t="s">
        <v>14</v>
      </c>
      <c r="E9" s="10">
        <v>30769</v>
      </c>
      <c r="F9" s="11"/>
      <c r="G9" s="118"/>
      <c r="I9" s="19" t="s">
        <v>7</v>
      </c>
      <c r="J9" s="20" t="s">
        <v>1</v>
      </c>
      <c r="K9" s="21" t="s">
        <v>8</v>
      </c>
      <c r="L9" s="21" t="s">
        <v>39</v>
      </c>
      <c r="M9" s="22">
        <v>28965</v>
      </c>
      <c r="N9" s="21"/>
      <c r="O9" s="116"/>
      <c r="Q9" s="24" t="s">
        <v>7</v>
      </c>
      <c r="R9" s="25" t="s">
        <v>1</v>
      </c>
      <c r="S9" s="14" t="s">
        <v>30</v>
      </c>
      <c r="T9" s="14" t="s">
        <v>34</v>
      </c>
      <c r="U9" s="14">
        <v>1655</v>
      </c>
      <c r="V9" s="123"/>
      <c r="W9" s="129"/>
    </row>
    <row r="10" spans="1:23" x14ac:dyDescent="0.25">
      <c r="A10" s="8" t="s">
        <v>7</v>
      </c>
      <c r="B10" s="9" t="s">
        <v>1</v>
      </c>
      <c r="C10" s="10" t="s">
        <v>8</v>
      </c>
      <c r="D10" s="10" t="s">
        <v>15</v>
      </c>
      <c r="E10" s="10">
        <v>2428</v>
      </c>
      <c r="F10" s="11"/>
      <c r="G10" s="118"/>
      <c r="I10" s="19" t="s">
        <v>7</v>
      </c>
      <c r="J10" s="20" t="s">
        <v>1</v>
      </c>
      <c r="K10" s="21" t="s">
        <v>8</v>
      </c>
      <c r="L10" s="21" t="s">
        <v>15</v>
      </c>
      <c r="M10" s="22">
        <v>1458</v>
      </c>
      <c r="N10" s="21"/>
      <c r="O10" s="116"/>
      <c r="Q10" s="24" t="s">
        <v>7</v>
      </c>
      <c r="R10" s="25" t="s">
        <v>1</v>
      </c>
      <c r="S10" s="14" t="s">
        <v>30</v>
      </c>
      <c r="T10" s="14" t="s">
        <v>35</v>
      </c>
      <c r="U10" s="14">
        <v>1144</v>
      </c>
      <c r="V10" s="123"/>
      <c r="W10" s="129"/>
    </row>
    <row r="11" spans="1:23" x14ac:dyDescent="0.25">
      <c r="A11" s="8" t="s">
        <v>7</v>
      </c>
      <c r="B11" s="9" t="s">
        <v>1</v>
      </c>
      <c r="C11" s="10" t="s">
        <v>8</v>
      </c>
      <c r="D11" s="10" t="s">
        <v>16</v>
      </c>
      <c r="E11" s="10">
        <v>878</v>
      </c>
      <c r="F11" s="11">
        <v>65254</v>
      </c>
      <c r="G11" s="118"/>
      <c r="I11" s="19" t="s">
        <v>7</v>
      </c>
      <c r="J11" s="20" t="s">
        <v>1</v>
      </c>
      <c r="K11" s="21" t="s">
        <v>8</v>
      </c>
      <c r="L11" s="21" t="s">
        <v>16</v>
      </c>
      <c r="M11" s="22">
        <v>540</v>
      </c>
      <c r="N11" s="23">
        <v>68264</v>
      </c>
      <c r="O11" s="116"/>
      <c r="Q11" s="24" t="s">
        <v>7</v>
      </c>
      <c r="R11" s="25" t="s">
        <v>1</v>
      </c>
      <c r="S11" s="14" t="s">
        <v>30</v>
      </c>
      <c r="T11" s="14" t="s">
        <v>15</v>
      </c>
      <c r="U11" s="14">
        <v>801</v>
      </c>
      <c r="V11" s="123"/>
      <c r="W11" s="129"/>
    </row>
    <row r="12" spans="1:23" x14ac:dyDescent="0.25">
      <c r="A12" s="5">
        <v>58</v>
      </c>
      <c r="B12" s="6" t="s">
        <v>18</v>
      </c>
      <c r="C12" s="7" t="s">
        <v>8</v>
      </c>
      <c r="D12" s="7" t="s">
        <v>9</v>
      </c>
      <c r="E12" s="7">
        <v>11755</v>
      </c>
      <c r="F12" s="1"/>
      <c r="G12" s="120">
        <v>50143</v>
      </c>
      <c r="I12" s="15">
        <v>58</v>
      </c>
      <c r="J12" s="16" t="s">
        <v>18</v>
      </c>
      <c r="K12" s="17" t="s">
        <v>8</v>
      </c>
      <c r="L12" s="17" t="s">
        <v>9</v>
      </c>
      <c r="M12" s="18">
        <v>16967</v>
      </c>
      <c r="N12" s="17"/>
      <c r="O12" s="113">
        <v>50143</v>
      </c>
      <c r="Q12" s="24" t="s">
        <v>7</v>
      </c>
      <c r="R12" s="25" t="s">
        <v>1</v>
      </c>
      <c r="S12" s="14" t="s">
        <v>30</v>
      </c>
      <c r="T12" s="14" t="s">
        <v>36</v>
      </c>
      <c r="U12" s="14">
        <v>743</v>
      </c>
      <c r="V12" s="123"/>
      <c r="W12" s="129"/>
    </row>
    <row r="13" spans="1:23" x14ac:dyDescent="0.25">
      <c r="A13" s="5">
        <v>58</v>
      </c>
      <c r="B13" s="6" t="s">
        <v>18</v>
      </c>
      <c r="C13" s="7" t="s">
        <v>8</v>
      </c>
      <c r="D13" s="7" t="s">
        <v>10</v>
      </c>
      <c r="E13" s="7">
        <v>675</v>
      </c>
      <c r="F13" s="1"/>
      <c r="G13" s="114"/>
      <c r="I13" s="15">
        <v>58</v>
      </c>
      <c r="J13" s="16" t="s">
        <v>18</v>
      </c>
      <c r="K13" s="17" t="s">
        <v>8</v>
      </c>
      <c r="L13" s="17" t="s">
        <v>10</v>
      </c>
      <c r="M13" s="18">
        <v>538</v>
      </c>
      <c r="N13" s="17"/>
      <c r="O13" s="114"/>
      <c r="Q13" s="24" t="s">
        <v>7</v>
      </c>
      <c r="R13" s="25" t="s">
        <v>1</v>
      </c>
      <c r="S13" s="14" t="s">
        <v>30</v>
      </c>
      <c r="T13" s="14" t="s">
        <v>37</v>
      </c>
      <c r="U13" s="14">
        <v>603</v>
      </c>
      <c r="V13" s="124"/>
      <c r="W13" s="130"/>
    </row>
    <row r="14" spans="1:23" x14ac:dyDescent="0.25">
      <c r="A14" s="5">
        <v>58</v>
      </c>
      <c r="B14" s="6" t="s">
        <v>18</v>
      </c>
      <c r="C14" s="7" t="s">
        <v>8</v>
      </c>
      <c r="D14" s="7" t="s">
        <v>11</v>
      </c>
      <c r="E14" s="7">
        <v>518</v>
      </c>
      <c r="F14" s="1"/>
      <c r="G14" s="114"/>
      <c r="I14" s="15">
        <v>58</v>
      </c>
      <c r="J14" s="16" t="s">
        <v>18</v>
      </c>
      <c r="K14" s="17" t="s">
        <v>8</v>
      </c>
      <c r="L14" s="17" t="s">
        <v>11</v>
      </c>
      <c r="M14" s="18">
        <v>486</v>
      </c>
      <c r="N14" s="17"/>
      <c r="O14" s="114"/>
      <c r="Q14" s="7" t="s">
        <v>41</v>
      </c>
      <c r="R14" s="6" t="s">
        <v>18</v>
      </c>
      <c r="S14" s="7" t="s">
        <v>30</v>
      </c>
      <c r="T14" s="7" t="s">
        <v>9</v>
      </c>
      <c r="U14" s="7">
        <v>18299</v>
      </c>
      <c r="V14" s="125">
        <f>SUM(U14:U23)</f>
        <v>38282</v>
      </c>
      <c r="W14" s="125">
        <v>50004</v>
      </c>
    </row>
    <row r="15" spans="1:23" x14ac:dyDescent="0.25">
      <c r="A15" s="5">
        <v>58</v>
      </c>
      <c r="B15" s="6" t="s">
        <v>18</v>
      </c>
      <c r="C15" s="7" t="s">
        <v>8</v>
      </c>
      <c r="D15" s="7" t="s">
        <v>12</v>
      </c>
      <c r="E15" s="7">
        <v>3294</v>
      </c>
      <c r="F15" s="1"/>
      <c r="G15" s="114"/>
      <c r="I15" s="15">
        <v>58</v>
      </c>
      <c r="J15" s="16" t="s">
        <v>18</v>
      </c>
      <c r="K15" s="17" t="s">
        <v>8</v>
      </c>
      <c r="L15" s="17" t="s">
        <v>12</v>
      </c>
      <c r="M15" s="18">
        <v>2915</v>
      </c>
      <c r="N15" s="17"/>
      <c r="O15" s="114"/>
      <c r="Q15" s="7" t="s">
        <v>41</v>
      </c>
      <c r="R15" s="6" t="s">
        <v>18</v>
      </c>
      <c r="S15" s="7" t="s">
        <v>30</v>
      </c>
      <c r="T15" s="7" t="s">
        <v>31</v>
      </c>
      <c r="U15" s="7">
        <v>11117</v>
      </c>
      <c r="V15" s="126"/>
      <c r="W15" s="126"/>
    </row>
    <row r="16" spans="1:23" x14ac:dyDescent="0.25">
      <c r="A16" s="5">
        <v>58</v>
      </c>
      <c r="B16" s="6" t="s">
        <v>18</v>
      </c>
      <c r="C16" s="7" t="s">
        <v>8</v>
      </c>
      <c r="D16" s="7" t="s">
        <v>13</v>
      </c>
      <c r="E16" s="7">
        <v>851</v>
      </c>
      <c r="F16" s="1"/>
      <c r="G16" s="114"/>
      <c r="I16" s="15">
        <v>58</v>
      </c>
      <c r="J16" s="16" t="s">
        <v>18</v>
      </c>
      <c r="K16" s="17" t="s">
        <v>8</v>
      </c>
      <c r="L16" s="17" t="s">
        <v>13</v>
      </c>
      <c r="M16" s="18">
        <v>764</v>
      </c>
      <c r="N16" s="17"/>
      <c r="O16" s="114"/>
      <c r="Q16" s="7" t="s">
        <v>41</v>
      </c>
      <c r="R16" s="6" t="s">
        <v>18</v>
      </c>
      <c r="S16" s="7" t="s">
        <v>30</v>
      </c>
      <c r="T16" s="7" t="s">
        <v>33</v>
      </c>
      <c r="U16" s="7">
        <v>2022</v>
      </c>
      <c r="V16" s="126"/>
      <c r="W16" s="126"/>
    </row>
    <row r="17" spans="1:23" x14ac:dyDescent="0.25">
      <c r="A17" s="5">
        <v>58</v>
      </c>
      <c r="B17" s="6" t="s">
        <v>18</v>
      </c>
      <c r="C17" s="7" t="s">
        <v>8</v>
      </c>
      <c r="D17" s="7" t="s">
        <v>14</v>
      </c>
      <c r="E17" s="7">
        <v>18453</v>
      </c>
      <c r="F17" s="1"/>
      <c r="G17" s="114"/>
      <c r="I17" s="15">
        <v>58</v>
      </c>
      <c r="J17" s="16" t="s">
        <v>18</v>
      </c>
      <c r="K17" s="17" t="s">
        <v>8</v>
      </c>
      <c r="L17" s="17" t="s">
        <v>39</v>
      </c>
      <c r="M17" s="18">
        <v>16986</v>
      </c>
      <c r="N17" s="17"/>
      <c r="O17" s="114"/>
      <c r="Q17" s="7" t="s">
        <v>41</v>
      </c>
      <c r="R17" s="6" t="s">
        <v>18</v>
      </c>
      <c r="S17" s="7" t="s">
        <v>30</v>
      </c>
      <c r="T17" s="7" t="s">
        <v>16</v>
      </c>
      <c r="U17" s="7">
        <v>1981</v>
      </c>
      <c r="V17" s="126"/>
      <c r="W17" s="126"/>
    </row>
    <row r="18" spans="1:23" x14ac:dyDescent="0.25">
      <c r="A18" s="5">
        <v>58</v>
      </c>
      <c r="B18" s="6" t="s">
        <v>18</v>
      </c>
      <c r="C18" s="7" t="s">
        <v>8</v>
      </c>
      <c r="D18" s="7" t="s">
        <v>15</v>
      </c>
      <c r="E18" s="7">
        <v>1499</v>
      </c>
      <c r="F18" s="1"/>
      <c r="G18" s="114"/>
      <c r="I18" s="15">
        <v>58</v>
      </c>
      <c r="J18" s="16" t="s">
        <v>18</v>
      </c>
      <c r="K18" s="17" t="s">
        <v>8</v>
      </c>
      <c r="L18" s="17" t="s">
        <v>15</v>
      </c>
      <c r="M18" s="18">
        <v>797</v>
      </c>
      <c r="N18" s="17"/>
      <c r="O18" s="114"/>
      <c r="Q18" s="7" t="s">
        <v>41</v>
      </c>
      <c r="R18" s="6" t="s">
        <v>18</v>
      </c>
      <c r="S18" s="7" t="s">
        <v>30</v>
      </c>
      <c r="T18" s="7" t="s">
        <v>32</v>
      </c>
      <c r="U18" s="7">
        <v>1949</v>
      </c>
      <c r="V18" s="126"/>
      <c r="W18" s="126"/>
    </row>
    <row r="19" spans="1:23" x14ac:dyDescent="0.25">
      <c r="A19" s="5">
        <v>58</v>
      </c>
      <c r="B19" s="6" t="s">
        <v>18</v>
      </c>
      <c r="C19" s="7" t="s">
        <v>8</v>
      </c>
      <c r="D19" s="7" t="s">
        <v>16</v>
      </c>
      <c r="E19" s="7">
        <v>638</v>
      </c>
      <c r="F19" s="1">
        <f>SUM(E12:E19)</f>
        <v>37683</v>
      </c>
      <c r="G19" s="114"/>
      <c r="I19" s="15">
        <v>58</v>
      </c>
      <c r="J19" s="16" t="s">
        <v>18</v>
      </c>
      <c r="K19" s="17" t="s">
        <v>8</v>
      </c>
      <c r="L19" s="17" t="s">
        <v>16</v>
      </c>
      <c r="M19" s="18">
        <v>301</v>
      </c>
      <c r="N19" s="18">
        <v>39754</v>
      </c>
      <c r="O19" s="114"/>
      <c r="Q19" s="7" t="s">
        <v>41</v>
      </c>
      <c r="R19" s="6" t="s">
        <v>18</v>
      </c>
      <c r="S19" s="7" t="s">
        <v>30</v>
      </c>
      <c r="T19" s="7" t="s">
        <v>37</v>
      </c>
      <c r="U19" s="7">
        <v>713</v>
      </c>
      <c r="V19" s="126"/>
      <c r="W19" s="126"/>
    </row>
    <row r="20" spans="1:23" x14ac:dyDescent="0.25">
      <c r="A20" s="12">
        <v>93</v>
      </c>
      <c r="B20" s="13" t="s">
        <v>19</v>
      </c>
      <c r="C20" s="12" t="s">
        <v>8</v>
      </c>
      <c r="D20" s="12" t="s">
        <v>9</v>
      </c>
      <c r="E20" s="12">
        <v>2319</v>
      </c>
      <c r="F20" s="11"/>
      <c r="G20" s="121">
        <v>11653</v>
      </c>
      <c r="I20" s="19">
        <v>93</v>
      </c>
      <c r="J20" s="20" t="s">
        <v>19</v>
      </c>
      <c r="K20" s="21" t="s">
        <v>8</v>
      </c>
      <c r="L20" s="21" t="s">
        <v>9</v>
      </c>
      <c r="M20" s="22">
        <v>3096</v>
      </c>
      <c r="N20" s="21"/>
      <c r="O20" s="115">
        <v>11653</v>
      </c>
      <c r="Q20" s="7" t="s">
        <v>41</v>
      </c>
      <c r="R20" s="6" t="s">
        <v>18</v>
      </c>
      <c r="S20" s="7" t="s">
        <v>30</v>
      </c>
      <c r="T20" s="7" t="s">
        <v>35</v>
      </c>
      <c r="U20" s="7">
        <v>687</v>
      </c>
      <c r="V20" s="126"/>
      <c r="W20" s="126"/>
    </row>
    <row r="21" spans="1:23" x14ac:dyDescent="0.25">
      <c r="A21" s="12">
        <v>93</v>
      </c>
      <c r="B21" s="13" t="s">
        <v>19</v>
      </c>
      <c r="C21" s="12" t="s">
        <v>8</v>
      </c>
      <c r="D21" s="12" t="s">
        <v>10</v>
      </c>
      <c r="E21" s="12">
        <v>102</v>
      </c>
      <c r="F21" s="11"/>
      <c r="G21" s="118"/>
      <c r="I21" s="19">
        <v>93</v>
      </c>
      <c r="J21" s="20" t="s">
        <v>19</v>
      </c>
      <c r="K21" s="21" t="s">
        <v>8</v>
      </c>
      <c r="L21" s="21" t="s">
        <v>10</v>
      </c>
      <c r="M21" s="22">
        <v>107</v>
      </c>
      <c r="N21" s="21"/>
      <c r="O21" s="116"/>
      <c r="Q21" s="7" t="s">
        <v>41</v>
      </c>
      <c r="R21" s="6" t="s">
        <v>18</v>
      </c>
      <c r="S21" s="7" t="s">
        <v>30</v>
      </c>
      <c r="T21" s="7" t="s">
        <v>34</v>
      </c>
      <c r="U21" s="7">
        <v>627</v>
      </c>
      <c r="V21" s="126"/>
      <c r="W21" s="126"/>
    </row>
    <row r="22" spans="1:23" x14ac:dyDescent="0.25">
      <c r="A22" s="12">
        <v>93</v>
      </c>
      <c r="B22" s="13" t="s">
        <v>19</v>
      </c>
      <c r="C22" s="12" t="s">
        <v>8</v>
      </c>
      <c r="D22" s="12" t="s">
        <v>11</v>
      </c>
      <c r="E22" s="12">
        <v>102</v>
      </c>
      <c r="F22" s="11"/>
      <c r="G22" s="118"/>
      <c r="I22" s="19">
        <v>93</v>
      </c>
      <c r="J22" s="20" t="s">
        <v>19</v>
      </c>
      <c r="K22" s="21" t="s">
        <v>8</v>
      </c>
      <c r="L22" s="21" t="s">
        <v>11</v>
      </c>
      <c r="M22" s="22">
        <v>133</v>
      </c>
      <c r="N22" s="21"/>
      <c r="O22" s="116"/>
      <c r="Q22" s="7" t="s">
        <v>41</v>
      </c>
      <c r="R22" s="6" t="s">
        <v>18</v>
      </c>
      <c r="S22" s="7" t="s">
        <v>30</v>
      </c>
      <c r="T22" s="7" t="s">
        <v>15</v>
      </c>
      <c r="U22" s="7">
        <v>536</v>
      </c>
      <c r="V22" s="126"/>
      <c r="W22" s="126"/>
    </row>
    <row r="23" spans="1:23" x14ac:dyDescent="0.25">
      <c r="A23" s="12">
        <v>93</v>
      </c>
      <c r="B23" s="13" t="s">
        <v>19</v>
      </c>
      <c r="C23" s="12" t="s">
        <v>8</v>
      </c>
      <c r="D23" s="12" t="s">
        <v>12</v>
      </c>
      <c r="E23" s="12">
        <v>239</v>
      </c>
      <c r="F23" s="11"/>
      <c r="G23" s="118"/>
      <c r="I23" s="19">
        <v>93</v>
      </c>
      <c r="J23" s="20" t="s">
        <v>19</v>
      </c>
      <c r="K23" s="21" t="s">
        <v>8</v>
      </c>
      <c r="L23" s="21" t="s">
        <v>12</v>
      </c>
      <c r="M23" s="22">
        <v>195</v>
      </c>
      <c r="N23" s="21"/>
      <c r="O23" s="116"/>
      <c r="Q23" s="7" t="s">
        <v>41</v>
      </c>
      <c r="R23" s="6" t="s">
        <v>18</v>
      </c>
      <c r="S23" s="7" t="s">
        <v>30</v>
      </c>
      <c r="T23" s="7" t="s">
        <v>36</v>
      </c>
      <c r="U23" s="7">
        <v>351</v>
      </c>
      <c r="V23" s="127"/>
      <c r="W23" s="127"/>
    </row>
    <row r="24" spans="1:23" x14ac:dyDescent="0.25">
      <c r="A24" s="12">
        <v>93</v>
      </c>
      <c r="B24" s="13" t="s">
        <v>19</v>
      </c>
      <c r="C24" s="12" t="s">
        <v>8</v>
      </c>
      <c r="D24" s="12" t="s">
        <v>13</v>
      </c>
      <c r="E24" s="12">
        <v>175</v>
      </c>
      <c r="F24" s="11"/>
      <c r="G24" s="118"/>
      <c r="I24" s="19">
        <v>93</v>
      </c>
      <c r="J24" s="20" t="s">
        <v>19</v>
      </c>
      <c r="K24" s="21" t="s">
        <v>8</v>
      </c>
      <c r="L24" s="21" t="s">
        <v>13</v>
      </c>
      <c r="M24" s="22">
        <v>175</v>
      </c>
      <c r="N24" s="21"/>
      <c r="O24" s="116"/>
      <c r="Q24" s="14">
        <v>93</v>
      </c>
      <c r="R24" s="25" t="s">
        <v>19</v>
      </c>
      <c r="S24" s="14" t="s">
        <v>30</v>
      </c>
      <c r="T24" s="14" t="s">
        <v>9</v>
      </c>
      <c r="U24" s="14">
        <v>3191</v>
      </c>
      <c r="V24" s="122">
        <f>SUM(U24:U33)</f>
        <v>8822</v>
      </c>
      <c r="W24" s="122">
        <v>11574</v>
      </c>
    </row>
    <row r="25" spans="1:23" x14ac:dyDescent="0.25">
      <c r="A25" s="12">
        <v>93</v>
      </c>
      <c r="B25" s="13" t="s">
        <v>19</v>
      </c>
      <c r="C25" s="12" t="s">
        <v>8</v>
      </c>
      <c r="D25" s="12" t="s">
        <v>14</v>
      </c>
      <c r="E25" s="12">
        <v>4528</v>
      </c>
      <c r="F25" s="11"/>
      <c r="G25" s="118"/>
      <c r="I25" s="19">
        <v>93</v>
      </c>
      <c r="J25" s="20" t="s">
        <v>19</v>
      </c>
      <c r="K25" s="21" t="s">
        <v>8</v>
      </c>
      <c r="L25" s="21" t="s">
        <v>39</v>
      </c>
      <c r="M25" s="22">
        <v>4527</v>
      </c>
      <c r="N25" s="21"/>
      <c r="O25" s="116"/>
      <c r="Q25" s="14">
        <v>93</v>
      </c>
      <c r="R25" s="25" t="s">
        <v>19</v>
      </c>
      <c r="S25" s="14" t="s">
        <v>30</v>
      </c>
      <c r="T25" s="14" t="s">
        <v>31</v>
      </c>
      <c r="U25" s="14">
        <v>2793</v>
      </c>
      <c r="V25" s="123"/>
      <c r="W25" s="123"/>
    </row>
    <row r="26" spans="1:23" x14ac:dyDescent="0.25">
      <c r="A26" s="12">
        <v>93</v>
      </c>
      <c r="B26" s="13" t="s">
        <v>19</v>
      </c>
      <c r="C26" s="12" t="s">
        <v>8</v>
      </c>
      <c r="D26" s="12" t="s">
        <v>15</v>
      </c>
      <c r="E26" s="12">
        <v>490</v>
      </c>
      <c r="F26" s="11"/>
      <c r="G26" s="118"/>
      <c r="I26" s="19">
        <v>93</v>
      </c>
      <c r="J26" s="20" t="s">
        <v>19</v>
      </c>
      <c r="K26" s="21" t="s">
        <v>8</v>
      </c>
      <c r="L26" s="21" t="s">
        <v>15</v>
      </c>
      <c r="M26" s="22">
        <v>233</v>
      </c>
      <c r="N26" s="21"/>
      <c r="O26" s="116"/>
      <c r="Q26" s="14">
        <v>93</v>
      </c>
      <c r="R26" s="25" t="s">
        <v>19</v>
      </c>
      <c r="S26" s="14" t="s">
        <v>30</v>
      </c>
      <c r="T26" s="14" t="s">
        <v>16</v>
      </c>
      <c r="U26" s="14">
        <v>1541</v>
      </c>
      <c r="V26" s="123"/>
      <c r="W26" s="123"/>
    </row>
    <row r="27" spans="1:23" x14ac:dyDescent="0.25">
      <c r="A27" s="12">
        <v>93</v>
      </c>
      <c r="B27" s="13" t="s">
        <v>19</v>
      </c>
      <c r="C27" s="12" t="s">
        <v>8</v>
      </c>
      <c r="D27" s="12" t="s">
        <v>16</v>
      </c>
      <c r="E27" s="12">
        <v>177</v>
      </c>
      <c r="F27" s="11">
        <f>SUM(E20:E27)</f>
        <v>8132</v>
      </c>
      <c r="G27" s="118"/>
      <c r="I27" s="19">
        <v>93</v>
      </c>
      <c r="J27" s="20" t="s">
        <v>19</v>
      </c>
      <c r="K27" s="21" t="s">
        <v>8</v>
      </c>
      <c r="L27" s="21" t="s">
        <v>16</v>
      </c>
      <c r="M27" s="22">
        <v>118</v>
      </c>
      <c r="N27" s="22">
        <v>8584</v>
      </c>
      <c r="O27" s="116"/>
      <c r="Q27" s="14">
        <v>93</v>
      </c>
      <c r="R27" s="25" t="s">
        <v>19</v>
      </c>
      <c r="S27" s="14" t="s">
        <v>30</v>
      </c>
      <c r="T27" s="14" t="s">
        <v>32</v>
      </c>
      <c r="U27" s="14">
        <v>683</v>
      </c>
      <c r="V27" s="123"/>
      <c r="W27" s="123"/>
    </row>
    <row r="28" spans="1:23" x14ac:dyDescent="0.25">
      <c r="A28" s="7">
        <v>27</v>
      </c>
      <c r="B28" s="6" t="s">
        <v>20</v>
      </c>
      <c r="C28" s="7" t="s">
        <v>8</v>
      </c>
      <c r="D28" s="7" t="s">
        <v>9</v>
      </c>
      <c r="E28" s="7">
        <v>2488</v>
      </c>
      <c r="F28" s="1"/>
      <c r="G28" s="120">
        <v>8766</v>
      </c>
      <c r="I28" s="15">
        <v>27</v>
      </c>
      <c r="J28" s="16" t="s">
        <v>20</v>
      </c>
      <c r="K28" s="17" t="s">
        <v>8</v>
      </c>
      <c r="L28" s="17" t="s">
        <v>9</v>
      </c>
      <c r="M28" s="18">
        <v>3101</v>
      </c>
      <c r="N28" s="17"/>
      <c r="O28" s="113">
        <v>8766</v>
      </c>
      <c r="Q28" s="14">
        <v>93</v>
      </c>
      <c r="R28" s="25" t="s">
        <v>19</v>
      </c>
      <c r="S28" s="14" t="s">
        <v>30</v>
      </c>
      <c r="T28" s="14" t="s">
        <v>33</v>
      </c>
      <c r="U28" s="14">
        <v>275</v>
      </c>
      <c r="V28" s="123"/>
      <c r="W28" s="123"/>
    </row>
    <row r="29" spans="1:23" x14ac:dyDescent="0.25">
      <c r="A29" s="7">
        <v>27</v>
      </c>
      <c r="B29" s="6" t="s">
        <v>20</v>
      </c>
      <c r="C29" s="7" t="s">
        <v>8</v>
      </c>
      <c r="D29" s="7" t="s">
        <v>10</v>
      </c>
      <c r="E29" s="7">
        <v>83</v>
      </c>
      <c r="F29" s="1"/>
      <c r="G29" s="114"/>
      <c r="I29" s="15">
        <v>27</v>
      </c>
      <c r="J29" s="16" t="s">
        <v>20</v>
      </c>
      <c r="K29" s="17" t="s">
        <v>8</v>
      </c>
      <c r="L29" s="17" t="s">
        <v>10</v>
      </c>
      <c r="M29" s="18">
        <v>86</v>
      </c>
      <c r="N29" s="17"/>
      <c r="O29" s="114"/>
      <c r="Q29" s="14">
        <v>93</v>
      </c>
      <c r="R29" s="25" t="s">
        <v>19</v>
      </c>
      <c r="S29" s="14" t="s">
        <v>30</v>
      </c>
      <c r="T29" s="14" t="s">
        <v>34</v>
      </c>
      <c r="U29" s="14">
        <v>118</v>
      </c>
      <c r="V29" s="123"/>
      <c r="W29" s="123"/>
    </row>
    <row r="30" spans="1:23" x14ac:dyDescent="0.25">
      <c r="A30" s="7">
        <v>27</v>
      </c>
      <c r="B30" s="6" t="s">
        <v>20</v>
      </c>
      <c r="C30" s="7" t="s">
        <v>8</v>
      </c>
      <c r="D30" s="7" t="s">
        <v>11</v>
      </c>
      <c r="E30" s="7">
        <v>106</v>
      </c>
      <c r="F30" s="1"/>
      <c r="G30" s="114"/>
      <c r="I30" s="15">
        <v>27</v>
      </c>
      <c r="J30" s="16" t="s">
        <v>20</v>
      </c>
      <c r="K30" s="17" t="s">
        <v>8</v>
      </c>
      <c r="L30" s="17" t="s">
        <v>11</v>
      </c>
      <c r="M30" s="18">
        <v>105</v>
      </c>
      <c r="N30" s="17"/>
      <c r="O30" s="114"/>
      <c r="Q30" s="14">
        <v>93</v>
      </c>
      <c r="R30" s="25" t="s">
        <v>19</v>
      </c>
      <c r="S30" s="14" t="s">
        <v>30</v>
      </c>
      <c r="T30" s="14" t="s">
        <v>35</v>
      </c>
      <c r="U30" s="14">
        <v>77</v>
      </c>
      <c r="V30" s="123"/>
      <c r="W30" s="123"/>
    </row>
    <row r="31" spans="1:23" x14ac:dyDescent="0.25">
      <c r="A31" s="7">
        <v>27</v>
      </c>
      <c r="B31" s="6" t="s">
        <v>20</v>
      </c>
      <c r="C31" s="7" t="s">
        <v>8</v>
      </c>
      <c r="D31" s="7" t="s">
        <v>12</v>
      </c>
      <c r="E31" s="7">
        <v>235</v>
      </c>
      <c r="F31" s="1"/>
      <c r="G31" s="114"/>
      <c r="I31" s="15">
        <v>27</v>
      </c>
      <c r="J31" s="16" t="s">
        <v>20</v>
      </c>
      <c r="K31" s="17" t="s">
        <v>8</v>
      </c>
      <c r="L31" s="17" t="s">
        <v>12</v>
      </c>
      <c r="M31" s="18">
        <v>89</v>
      </c>
      <c r="N31" s="17"/>
      <c r="O31" s="114"/>
      <c r="Q31" s="14">
        <v>93</v>
      </c>
      <c r="R31" s="25" t="s">
        <v>19</v>
      </c>
      <c r="S31" s="14" t="s">
        <v>30</v>
      </c>
      <c r="T31" s="14" t="s">
        <v>15</v>
      </c>
      <c r="U31" s="14">
        <v>76</v>
      </c>
      <c r="V31" s="123"/>
      <c r="W31" s="123"/>
    </row>
    <row r="32" spans="1:23" x14ac:dyDescent="0.25">
      <c r="A32" s="7">
        <v>27</v>
      </c>
      <c r="B32" s="6" t="s">
        <v>20</v>
      </c>
      <c r="C32" s="7" t="s">
        <v>8</v>
      </c>
      <c r="D32" s="7" t="s">
        <v>13</v>
      </c>
      <c r="E32" s="7">
        <v>78</v>
      </c>
      <c r="F32" s="1"/>
      <c r="G32" s="114"/>
      <c r="I32" s="15">
        <v>27</v>
      </c>
      <c r="J32" s="16" t="s">
        <v>20</v>
      </c>
      <c r="K32" s="17" t="s">
        <v>8</v>
      </c>
      <c r="L32" s="17" t="s">
        <v>13</v>
      </c>
      <c r="M32" s="18">
        <v>108</v>
      </c>
      <c r="N32" s="17"/>
      <c r="O32" s="114"/>
      <c r="Q32" s="14">
        <v>93</v>
      </c>
      <c r="R32" s="25" t="s">
        <v>19</v>
      </c>
      <c r="S32" s="14" t="s">
        <v>30</v>
      </c>
      <c r="T32" s="14" t="s">
        <v>36</v>
      </c>
      <c r="U32" s="14">
        <v>40</v>
      </c>
      <c r="V32" s="123"/>
      <c r="W32" s="123"/>
    </row>
    <row r="33" spans="1:23" x14ac:dyDescent="0.25">
      <c r="A33" s="7">
        <v>27</v>
      </c>
      <c r="B33" s="6" t="s">
        <v>20</v>
      </c>
      <c r="C33" s="7" t="s">
        <v>8</v>
      </c>
      <c r="D33" s="7" t="s">
        <v>14</v>
      </c>
      <c r="E33" s="7">
        <v>3130</v>
      </c>
      <c r="F33" s="1"/>
      <c r="G33" s="114"/>
      <c r="I33" s="15">
        <v>27</v>
      </c>
      <c r="J33" s="16" t="s">
        <v>20</v>
      </c>
      <c r="K33" s="17" t="s">
        <v>8</v>
      </c>
      <c r="L33" s="17" t="s">
        <v>39</v>
      </c>
      <c r="M33" s="18">
        <v>3052</v>
      </c>
      <c r="N33" s="17"/>
      <c r="O33" s="114"/>
      <c r="Q33" s="14">
        <v>93</v>
      </c>
      <c r="R33" s="25" t="s">
        <v>19</v>
      </c>
      <c r="S33" s="14" t="s">
        <v>30</v>
      </c>
      <c r="T33" s="14" t="s">
        <v>37</v>
      </c>
      <c r="U33" s="14">
        <v>28</v>
      </c>
      <c r="V33" s="124"/>
      <c r="W33" s="124"/>
    </row>
    <row r="34" spans="1:23" x14ac:dyDescent="0.25">
      <c r="A34" s="7">
        <v>27</v>
      </c>
      <c r="B34" s="6" t="s">
        <v>20</v>
      </c>
      <c r="C34" s="7" t="s">
        <v>8</v>
      </c>
      <c r="D34" s="7" t="s">
        <v>15</v>
      </c>
      <c r="E34" s="7">
        <v>268</v>
      </c>
      <c r="F34" s="1"/>
      <c r="G34" s="114"/>
      <c r="I34" s="15">
        <v>27</v>
      </c>
      <c r="J34" s="16" t="s">
        <v>20</v>
      </c>
      <c r="K34" s="17" t="s">
        <v>8</v>
      </c>
      <c r="L34" s="17" t="s">
        <v>15</v>
      </c>
      <c r="M34" s="18">
        <v>156</v>
      </c>
      <c r="N34" s="17"/>
      <c r="O34" s="114"/>
      <c r="Q34" s="7">
        <v>27</v>
      </c>
      <c r="R34" s="6" t="s">
        <v>20</v>
      </c>
      <c r="S34" s="7" t="s">
        <v>30</v>
      </c>
      <c r="T34" s="7" t="s">
        <v>9</v>
      </c>
      <c r="U34" s="7">
        <v>2903</v>
      </c>
      <c r="V34" s="125">
        <f>SUM(U34:U43)</f>
        <v>6934</v>
      </c>
      <c r="W34" s="125">
        <v>8731</v>
      </c>
    </row>
    <row r="35" spans="1:23" x14ac:dyDescent="0.25">
      <c r="A35" s="7">
        <v>27</v>
      </c>
      <c r="B35" s="6" t="s">
        <v>20</v>
      </c>
      <c r="C35" s="7" t="s">
        <v>8</v>
      </c>
      <c r="D35" s="7" t="s">
        <v>16</v>
      </c>
      <c r="E35" s="7">
        <v>117</v>
      </c>
      <c r="F35" s="1">
        <f>SUM(E28:E35)</f>
        <v>6505</v>
      </c>
      <c r="G35" s="114"/>
      <c r="I35" s="15">
        <v>27</v>
      </c>
      <c r="J35" s="16" t="s">
        <v>20</v>
      </c>
      <c r="K35" s="17" t="s">
        <v>8</v>
      </c>
      <c r="L35" s="17" t="s">
        <v>16</v>
      </c>
      <c r="M35" s="18">
        <v>69</v>
      </c>
      <c r="N35" s="18">
        <v>6766</v>
      </c>
      <c r="O35" s="114"/>
      <c r="Q35" s="7">
        <v>27</v>
      </c>
      <c r="R35" s="6" t="s">
        <v>20</v>
      </c>
      <c r="S35" s="7" t="s">
        <v>30</v>
      </c>
      <c r="T35" s="7" t="s">
        <v>31</v>
      </c>
      <c r="U35" s="7">
        <v>2680</v>
      </c>
      <c r="V35" s="126"/>
      <c r="W35" s="126"/>
    </row>
    <row r="36" spans="1:23" x14ac:dyDescent="0.25">
      <c r="A36" s="12">
        <v>86</v>
      </c>
      <c r="B36" s="13" t="s">
        <v>21</v>
      </c>
      <c r="C36" s="12" t="s">
        <v>8</v>
      </c>
      <c r="D36" s="12" t="s">
        <v>9</v>
      </c>
      <c r="E36" s="12">
        <v>3678</v>
      </c>
      <c r="F36" s="11"/>
      <c r="G36" s="121">
        <v>12268</v>
      </c>
      <c r="I36" s="19">
        <v>86</v>
      </c>
      <c r="J36" s="20" t="s">
        <v>21</v>
      </c>
      <c r="K36" s="21" t="s">
        <v>8</v>
      </c>
      <c r="L36" s="21" t="s">
        <v>9</v>
      </c>
      <c r="M36" s="22">
        <v>4385</v>
      </c>
      <c r="N36" s="21"/>
      <c r="O36" s="115">
        <v>12268</v>
      </c>
      <c r="Q36" s="7">
        <v>27</v>
      </c>
      <c r="R36" s="6" t="s">
        <v>20</v>
      </c>
      <c r="S36" s="7" t="s">
        <v>30</v>
      </c>
      <c r="T36" s="7" t="s">
        <v>33</v>
      </c>
      <c r="U36" s="7">
        <v>390</v>
      </c>
      <c r="V36" s="126"/>
      <c r="W36" s="126"/>
    </row>
    <row r="37" spans="1:23" x14ac:dyDescent="0.25">
      <c r="A37" s="12">
        <v>86</v>
      </c>
      <c r="B37" s="13" t="s">
        <v>21</v>
      </c>
      <c r="C37" s="12" t="s">
        <v>8</v>
      </c>
      <c r="D37" s="12" t="s">
        <v>10</v>
      </c>
      <c r="E37" s="12">
        <v>252</v>
      </c>
      <c r="F37" s="11"/>
      <c r="G37" s="118"/>
      <c r="I37" s="19">
        <v>86</v>
      </c>
      <c r="J37" s="20" t="s">
        <v>21</v>
      </c>
      <c r="K37" s="21" t="s">
        <v>8</v>
      </c>
      <c r="L37" s="21" t="s">
        <v>10</v>
      </c>
      <c r="M37" s="22">
        <v>206</v>
      </c>
      <c r="N37" s="21"/>
      <c r="O37" s="116"/>
      <c r="Q37" s="7">
        <v>27</v>
      </c>
      <c r="R37" s="6" t="s">
        <v>20</v>
      </c>
      <c r="S37" s="7" t="s">
        <v>30</v>
      </c>
      <c r="T37" s="7" t="s">
        <v>34</v>
      </c>
      <c r="U37" s="7">
        <v>330</v>
      </c>
      <c r="V37" s="126"/>
      <c r="W37" s="126"/>
    </row>
    <row r="38" spans="1:23" x14ac:dyDescent="0.25">
      <c r="A38" s="12">
        <v>86</v>
      </c>
      <c r="B38" s="13" t="s">
        <v>21</v>
      </c>
      <c r="C38" s="12" t="s">
        <v>8</v>
      </c>
      <c r="D38" s="12" t="s">
        <v>11</v>
      </c>
      <c r="E38" s="12">
        <v>197</v>
      </c>
      <c r="F38" s="11"/>
      <c r="G38" s="118"/>
      <c r="I38" s="19">
        <v>86</v>
      </c>
      <c r="J38" s="20" t="s">
        <v>21</v>
      </c>
      <c r="K38" s="21" t="s">
        <v>8</v>
      </c>
      <c r="L38" s="21" t="s">
        <v>11</v>
      </c>
      <c r="M38" s="22">
        <v>210</v>
      </c>
      <c r="N38" s="21"/>
      <c r="O38" s="116"/>
      <c r="Q38" s="7">
        <v>27</v>
      </c>
      <c r="R38" s="6" t="s">
        <v>20</v>
      </c>
      <c r="S38" s="7" t="s">
        <v>30</v>
      </c>
      <c r="T38" s="7" t="s">
        <v>32</v>
      </c>
      <c r="U38" s="7">
        <v>275</v>
      </c>
      <c r="V38" s="126"/>
      <c r="W38" s="126"/>
    </row>
    <row r="39" spans="1:23" x14ac:dyDescent="0.25">
      <c r="A39" s="12">
        <v>86</v>
      </c>
      <c r="B39" s="13" t="s">
        <v>21</v>
      </c>
      <c r="C39" s="12" t="s">
        <v>8</v>
      </c>
      <c r="D39" s="12" t="s">
        <v>12</v>
      </c>
      <c r="E39" s="12">
        <v>256</v>
      </c>
      <c r="F39" s="11"/>
      <c r="G39" s="118"/>
      <c r="I39" s="19">
        <v>86</v>
      </c>
      <c r="J39" s="20" t="s">
        <v>21</v>
      </c>
      <c r="K39" s="21" t="s">
        <v>8</v>
      </c>
      <c r="L39" s="21" t="s">
        <v>12</v>
      </c>
      <c r="M39" s="22">
        <v>241</v>
      </c>
      <c r="N39" s="21"/>
      <c r="O39" s="116"/>
      <c r="Q39" s="7">
        <v>27</v>
      </c>
      <c r="R39" s="6" t="s">
        <v>20</v>
      </c>
      <c r="S39" s="7" t="s">
        <v>30</v>
      </c>
      <c r="T39" s="7" t="s">
        <v>16</v>
      </c>
      <c r="U39" s="7">
        <v>218</v>
      </c>
      <c r="V39" s="126"/>
      <c r="W39" s="126"/>
    </row>
    <row r="40" spans="1:23" x14ac:dyDescent="0.25">
      <c r="A40" s="12">
        <v>86</v>
      </c>
      <c r="B40" s="13" t="s">
        <v>21</v>
      </c>
      <c r="C40" s="12" t="s">
        <v>8</v>
      </c>
      <c r="D40" s="12" t="s">
        <v>13</v>
      </c>
      <c r="E40" s="12">
        <v>172</v>
      </c>
      <c r="F40" s="11"/>
      <c r="G40" s="118"/>
      <c r="I40" s="19">
        <v>86</v>
      </c>
      <c r="J40" s="20" t="s">
        <v>21</v>
      </c>
      <c r="K40" s="21" t="s">
        <v>8</v>
      </c>
      <c r="L40" s="21" t="s">
        <v>13</v>
      </c>
      <c r="M40" s="22">
        <v>181</v>
      </c>
      <c r="N40" s="21"/>
      <c r="O40" s="116"/>
      <c r="Q40" s="7">
        <v>27</v>
      </c>
      <c r="R40" s="6" t="s">
        <v>20</v>
      </c>
      <c r="S40" s="7" t="s">
        <v>30</v>
      </c>
      <c r="T40" s="7" t="s">
        <v>15</v>
      </c>
      <c r="U40" s="7">
        <v>78</v>
      </c>
      <c r="V40" s="126"/>
      <c r="W40" s="126"/>
    </row>
    <row r="41" spans="1:23" x14ac:dyDescent="0.25">
      <c r="A41" s="12">
        <v>86</v>
      </c>
      <c r="B41" s="13" t="s">
        <v>21</v>
      </c>
      <c r="C41" s="12" t="s">
        <v>8</v>
      </c>
      <c r="D41" s="12" t="s">
        <v>14</v>
      </c>
      <c r="E41" s="12">
        <v>3986</v>
      </c>
      <c r="F41" s="11"/>
      <c r="G41" s="118"/>
      <c r="I41" s="19">
        <v>86</v>
      </c>
      <c r="J41" s="20" t="s">
        <v>21</v>
      </c>
      <c r="K41" s="21" t="s">
        <v>8</v>
      </c>
      <c r="L41" s="21" t="s">
        <v>39</v>
      </c>
      <c r="M41" s="22">
        <v>3908</v>
      </c>
      <c r="N41" s="21"/>
      <c r="O41" s="116"/>
      <c r="Q41" s="7">
        <v>27</v>
      </c>
      <c r="R41" s="6" t="s">
        <v>20</v>
      </c>
      <c r="S41" s="7" t="s">
        <v>30</v>
      </c>
      <c r="T41" s="7" t="s">
        <v>36</v>
      </c>
      <c r="U41" s="7">
        <v>26</v>
      </c>
      <c r="V41" s="126"/>
      <c r="W41" s="126"/>
    </row>
    <row r="42" spans="1:23" x14ac:dyDescent="0.25">
      <c r="A42" s="12">
        <v>86</v>
      </c>
      <c r="B42" s="13" t="s">
        <v>21</v>
      </c>
      <c r="C42" s="12" t="s">
        <v>8</v>
      </c>
      <c r="D42" s="12" t="s">
        <v>15</v>
      </c>
      <c r="E42" s="12">
        <v>321</v>
      </c>
      <c r="F42" s="11"/>
      <c r="G42" s="118"/>
      <c r="I42" s="19">
        <v>86</v>
      </c>
      <c r="J42" s="20" t="s">
        <v>21</v>
      </c>
      <c r="K42" s="21" t="s">
        <v>8</v>
      </c>
      <c r="L42" s="21" t="s">
        <v>15</v>
      </c>
      <c r="M42" s="22">
        <v>177</v>
      </c>
      <c r="N42" s="21"/>
      <c r="O42" s="116"/>
      <c r="Q42" s="7">
        <v>27</v>
      </c>
      <c r="R42" s="6" t="s">
        <v>20</v>
      </c>
      <c r="S42" s="7" t="s">
        <v>30</v>
      </c>
      <c r="T42" s="7" t="s">
        <v>37</v>
      </c>
      <c r="U42" s="7">
        <v>21</v>
      </c>
      <c r="V42" s="126"/>
      <c r="W42" s="126"/>
    </row>
    <row r="43" spans="1:23" x14ac:dyDescent="0.25">
      <c r="A43" s="12">
        <v>86</v>
      </c>
      <c r="B43" s="13" t="s">
        <v>21</v>
      </c>
      <c r="C43" s="12" t="s">
        <v>8</v>
      </c>
      <c r="D43" s="12" t="s">
        <v>16</v>
      </c>
      <c r="E43" s="12">
        <v>135</v>
      </c>
      <c r="F43" s="11">
        <f>SUM(E36:E43)</f>
        <v>8997</v>
      </c>
      <c r="G43" s="118"/>
      <c r="I43" s="19">
        <v>86</v>
      </c>
      <c r="J43" s="20" t="s">
        <v>21</v>
      </c>
      <c r="K43" s="21" t="s">
        <v>8</v>
      </c>
      <c r="L43" s="21" t="s">
        <v>16</v>
      </c>
      <c r="M43" s="22">
        <v>82</v>
      </c>
      <c r="N43" s="22">
        <v>9390</v>
      </c>
      <c r="O43" s="116"/>
      <c r="Q43" s="7">
        <v>27</v>
      </c>
      <c r="R43" s="6" t="s">
        <v>20</v>
      </c>
      <c r="S43" s="7" t="s">
        <v>30</v>
      </c>
      <c r="T43" s="7" t="s">
        <v>35</v>
      </c>
      <c r="U43" s="7">
        <v>13</v>
      </c>
      <c r="V43" s="127"/>
      <c r="W43" s="127"/>
    </row>
    <row r="44" spans="1:23" x14ac:dyDescent="0.25">
      <c r="A44" s="29">
        <v>61</v>
      </c>
      <c r="B44" s="30" t="s">
        <v>48</v>
      </c>
      <c r="C44" s="29" t="s">
        <v>8</v>
      </c>
      <c r="D44" s="29" t="s">
        <v>9</v>
      </c>
      <c r="E44" s="29">
        <v>2016</v>
      </c>
      <c r="F44" s="27"/>
      <c r="G44" s="133">
        <v>7373</v>
      </c>
      <c r="I44" s="15">
        <v>61</v>
      </c>
      <c r="J44" s="16" t="s">
        <v>48</v>
      </c>
      <c r="K44" s="17" t="s">
        <v>8</v>
      </c>
      <c r="L44" s="17" t="s">
        <v>9</v>
      </c>
      <c r="M44" s="18">
        <v>2917</v>
      </c>
      <c r="N44" s="17"/>
      <c r="O44" s="113">
        <v>7373</v>
      </c>
      <c r="Q44" s="14">
        <v>86</v>
      </c>
      <c r="R44" s="25" t="s">
        <v>21</v>
      </c>
      <c r="S44" s="14" t="s">
        <v>30</v>
      </c>
      <c r="T44" s="14" t="s">
        <v>9</v>
      </c>
      <c r="U44" s="14">
        <v>5019</v>
      </c>
      <c r="V44" s="122">
        <f>SUM(U44:U53)</f>
        <v>9440</v>
      </c>
      <c r="W44" s="131">
        <v>12746</v>
      </c>
    </row>
    <row r="45" spans="1:23" x14ac:dyDescent="0.25">
      <c r="A45" s="29">
        <v>61</v>
      </c>
      <c r="B45" s="30" t="s">
        <v>48</v>
      </c>
      <c r="C45" s="29" t="s">
        <v>8</v>
      </c>
      <c r="D45" s="29" t="s">
        <v>10</v>
      </c>
      <c r="E45" s="29">
        <v>83</v>
      </c>
      <c r="F45" s="27"/>
      <c r="G45" s="114"/>
      <c r="I45" s="15">
        <v>61</v>
      </c>
      <c r="J45" s="16" t="s">
        <v>48</v>
      </c>
      <c r="K45" s="17" t="s">
        <v>8</v>
      </c>
      <c r="L45" s="17" t="s">
        <v>10</v>
      </c>
      <c r="M45" s="18">
        <v>80</v>
      </c>
      <c r="N45" s="17"/>
      <c r="O45" s="114"/>
      <c r="Q45" s="14">
        <v>86</v>
      </c>
      <c r="R45" s="25" t="s">
        <v>21</v>
      </c>
      <c r="S45" s="14" t="s">
        <v>30</v>
      </c>
      <c r="T45" s="14" t="s">
        <v>31</v>
      </c>
      <c r="U45" s="14">
        <v>2167</v>
      </c>
      <c r="V45" s="123"/>
      <c r="W45" s="132"/>
    </row>
    <row r="46" spans="1:23" x14ac:dyDescent="0.25">
      <c r="A46" s="29">
        <v>61</v>
      </c>
      <c r="B46" s="30" t="s">
        <v>48</v>
      </c>
      <c r="C46" s="29" t="s">
        <v>8</v>
      </c>
      <c r="D46" s="29" t="s">
        <v>11</v>
      </c>
      <c r="E46" s="29">
        <v>57</v>
      </c>
      <c r="F46" s="27"/>
      <c r="G46" s="114"/>
      <c r="I46" s="15">
        <v>61</v>
      </c>
      <c r="J46" s="16" t="s">
        <v>48</v>
      </c>
      <c r="K46" s="17" t="s">
        <v>8</v>
      </c>
      <c r="L46" s="17" t="s">
        <v>11</v>
      </c>
      <c r="M46" s="18">
        <v>76</v>
      </c>
      <c r="N46" s="17"/>
      <c r="O46" s="114"/>
      <c r="Q46" s="14">
        <v>86</v>
      </c>
      <c r="R46" s="25" t="s">
        <v>21</v>
      </c>
      <c r="S46" s="14" t="s">
        <v>30</v>
      </c>
      <c r="T46" s="14" t="s">
        <v>32</v>
      </c>
      <c r="U46" s="14">
        <v>940</v>
      </c>
      <c r="V46" s="123"/>
      <c r="W46" s="132"/>
    </row>
    <row r="47" spans="1:23" x14ac:dyDescent="0.25">
      <c r="A47" s="29">
        <v>61</v>
      </c>
      <c r="B47" s="30" t="s">
        <v>48</v>
      </c>
      <c r="C47" s="29" t="s">
        <v>8</v>
      </c>
      <c r="D47" s="29" t="s">
        <v>12</v>
      </c>
      <c r="E47" s="29">
        <v>227</v>
      </c>
      <c r="F47" s="27"/>
      <c r="G47" s="114"/>
      <c r="I47" s="15">
        <v>61</v>
      </c>
      <c r="J47" s="16" t="s">
        <v>48</v>
      </c>
      <c r="K47" s="17" t="s">
        <v>8</v>
      </c>
      <c r="L47" s="17" t="s">
        <v>12</v>
      </c>
      <c r="M47" s="18">
        <v>157</v>
      </c>
      <c r="N47" s="17"/>
      <c r="O47" s="114"/>
      <c r="Q47" s="14">
        <v>86</v>
      </c>
      <c r="R47" s="25" t="s">
        <v>21</v>
      </c>
      <c r="S47" s="14" t="s">
        <v>30</v>
      </c>
      <c r="T47" s="14" t="s">
        <v>33</v>
      </c>
      <c r="U47" s="14">
        <v>352</v>
      </c>
      <c r="V47" s="123"/>
      <c r="W47" s="132"/>
    </row>
    <row r="48" spans="1:23" x14ac:dyDescent="0.25">
      <c r="A48" s="29">
        <v>61</v>
      </c>
      <c r="B48" s="30" t="s">
        <v>48</v>
      </c>
      <c r="C48" s="29" t="s">
        <v>8</v>
      </c>
      <c r="D48" s="29" t="s">
        <v>13</v>
      </c>
      <c r="E48" s="29">
        <v>140</v>
      </c>
      <c r="F48" s="27"/>
      <c r="G48" s="114"/>
      <c r="I48" s="15">
        <v>61</v>
      </c>
      <c r="J48" s="16" t="s">
        <v>48</v>
      </c>
      <c r="K48" s="17" t="s">
        <v>8</v>
      </c>
      <c r="L48" s="17" t="s">
        <v>13</v>
      </c>
      <c r="M48" s="18">
        <v>183</v>
      </c>
      <c r="N48" s="17"/>
      <c r="O48" s="114"/>
      <c r="Q48" s="14">
        <v>86</v>
      </c>
      <c r="R48" s="25" t="s">
        <v>21</v>
      </c>
      <c r="S48" s="14" t="s">
        <v>30</v>
      </c>
      <c r="T48" s="14" t="s">
        <v>16</v>
      </c>
      <c r="U48" s="14">
        <v>230</v>
      </c>
      <c r="V48" s="123"/>
      <c r="W48" s="132"/>
    </row>
    <row r="49" spans="1:23" x14ac:dyDescent="0.25">
      <c r="A49" s="29">
        <v>61</v>
      </c>
      <c r="B49" s="30" t="s">
        <v>48</v>
      </c>
      <c r="C49" s="29" t="s">
        <v>8</v>
      </c>
      <c r="D49" s="29" t="s">
        <v>14</v>
      </c>
      <c r="E49" s="29">
        <v>2307</v>
      </c>
      <c r="F49" s="27"/>
      <c r="G49" s="114"/>
      <c r="I49" s="15">
        <v>61</v>
      </c>
      <c r="J49" s="16" t="s">
        <v>48</v>
      </c>
      <c r="K49" s="17" t="s">
        <v>8</v>
      </c>
      <c r="L49" s="17" t="s">
        <v>39</v>
      </c>
      <c r="M49" s="18">
        <v>2391</v>
      </c>
      <c r="N49" s="17"/>
      <c r="O49" s="114"/>
      <c r="Q49" s="14">
        <v>86</v>
      </c>
      <c r="R49" s="25" t="s">
        <v>21</v>
      </c>
      <c r="S49" s="14" t="s">
        <v>30</v>
      </c>
      <c r="T49" s="14" t="s">
        <v>35</v>
      </c>
      <c r="U49" s="14">
        <v>219</v>
      </c>
      <c r="V49" s="123"/>
      <c r="W49" s="132"/>
    </row>
    <row r="50" spans="1:23" x14ac:dyDescent="0.25">
      <c r="A50" s="29">
        <v>61</v>
      </c>
      <c r="B50" s="30" t="s">
        <v>48</v>
      </c>
      <c r="C50" s="29" t="s">
        <v>8</v>
      </c>
      <c r="D50" s="29" t="s">
        <v>15</v>
      </c>
      <c r="E50" s="29">
        <v>297</v>
      </c>
      <c r="F50" s="27"/>
      <c r="G50" s="114"/>
      <c r="I50" s="15">
        <v>61</v>
      </c>
      <c r="J50" s="16" t="s">
        <v>48</v>
      </c>
      <c r="K50" s="17" t="s">
        <v>8</v>
      </c>
      <c r="L50" s="17" t="s">
        <v>15</v>
      </c>
      <c r="M50" s="18">
        <v>153</v>
      </c>
      <c r="N50" s="17"/>
      <c r="O50" s="114"/>
      <c r="Q50" s="14">
        <v>86</v>
      </c>
      <c r="R50" s="25" t="s">
        <v>21</v>
      </c>
      <c r="S50" s="14" t="s">
        <v>30</v>
      </c>
      <c r="T50" s="14" t="s">
        <v>34</v>
      </c>
      <c r="U50" s="14">
        <v>204</v>
      </c>
      <c r="V50" s="123"/>
      <c r="W50" s="132"/>
    </row>
    <row r="51" spans="1:23" x14ac:dyDescent="0.25">
      <c r="A51" s="29">
        <v>61</v>
      </c>
      <c r="B51" s="30" t="s">
        <v>48</v>
      </c>
      <c r="C51" s="29" t="s">
        <v>8</v>
      </c>
      <c r="D51" s="29" t="s">
        <v>16</v>
      </c>
      <c r="E51" s="29">
        <v>115</v>
      </c>
      <c r="F51" s="27">
        <f>SUM(E44:E51)</f>
        <v>5242</v>
      </c>
      <c r="G51" s="114"/>
      <c r="I51" s="15">
        <v>61</v>
      </c>
      <c r="J51" s="16" t="s">
        <v>48</v>
      </c>
      <c r="K51" s="17" t="s">
        <v>8</v>
      </c>
      <c r="L51" s="17" t="s">
        <v>16</v>
      </c>
      <c r="M51" s="18">
        <v>58</v>
      </c>
      <c r="N51" s="18">
        <v>6015</v>
      </c>
      <c r="O51" s="114"/>
      <c r="Q51" s="14">
        <v>86</v>
      </c>
      <c r="R51" s="25" t="s">
        <v>21</v>
      </c>
      <c r="S51" s="14" t="s">
        <v>30</v>
      </c>
      <c r="T51" s="14" t="s">
        <v>15</v>
      </c>
      <c r="U51" s="14">
        <v>110</v>
      </c>
      <c r="V51" s="123"/>
      <c r="W51" s="132"/>
    </row>
    <row r="52" spans="1:23" x14ac:dyDescent="0.25">
      <c r="A52" s="10">
        <v>22</v>
      </c>
      <c r="B52" s="9" t="s">
        <v>49</v>
      </c>
      <c r="C52" s="10" t="s">
        <v>8</v>
      </c>
      <c r="D52" s="10" t="s">
        <v>9</v>
      </c>
      <c r="E52" s="10">
        <v>1706</v>
      </c>
      <c r="F52" s="28"/>
      <c r="G52" s="117">
        <v>7072</v>
      </c>
      <c r="I52" s="19">
        <v>22</v>
      </c>
      <c r="J52" s="20" t="s">
        <v>49</v>
      </c>
      <c r="K52" s="21" t="s">
        <v>8</v>
      </c>
      <c r="L52" s="21" t="s">
        <v>9</v>
      </c>
      <c r="M52" s="22">
        <v>2257</v>
      </c>
      <c r="N52" s="21"/>
      <c r="O52" s="115">
        <v>7072</v>
      </c>
      <c r="Q52" s="14">
        <v>86</v>
      </c>
      <c r="R52" s="25" t="s">
        <v>21</v>
      </c>
      <c r="S52" s="14" t="s">
        <v>30</v>
      </c>
      <c r="T52" s="14" t="s">
        <v>36</v>
      </c>
      <c r="U52" s="14">
        <v>106</v>
      </c>
      <c r="V52" s="123"/>
      <c r="W52" s="132"/>
    </row>
    <row r="53" spans="1:23" x14ac:dyDescent="0.25">
      <c r="A53" s="10">
        <v>22</v>
      </c>
      <c r="B53" s="9" t="s">
        <v>49</v>
      </c>
      <c r="C53" s="10" t="s">
        <v>8</v>
      </c>
      <c r="D53" s="10" t="s">
        <v>10</v>
      </c>
      <c r="E53" s="10">
        <v>65</v>
      </c>
      <c r="F53" s="28"/>
      <c r="G53" s="118"/>
      <c r="I53" s="19">
        <v>22</v>
      </c>
      <c r="J53" s="20" t="s">
        <v>49</v>
      </c>
      <c r="K53" s="21" t="s">
        <v>8</v>
      </c>
      <c r="L53" s="21" t="s">
        <v>10</v>
      </c>
      <c r="M53" s="22">
        <v>54</v>
      </c>
      <c r="N53" s="21"/>
      <c r="O53" s="116"/>
      <c r="Q53" s="98">
        <v>86</v>
      </c>
      <c r="R53" s="99" t="s">
        <v>21</v>
      </c>
      <c r="S53" s="98" t="s">
        <v>30</v>
      </c>
      <c r="T53" s="98" t="s">
        <v>37</v>
      </c>
      <c r="U53" s="98">
        <v>93</v>
      </c>
      <c r="V53" s="123"/>
      <c r="W53" s="132"/>
    </row>
    <row r="54" spans="1:23" x14ac:dyDescent="0.25">
      <c r="A54" s="10">
        <v>22</v>
      </c>
      <c r="B54" s="9" t="s">
        <v>49</v>
      </c>
      <c r="C54" s="10" t="s">
        <v>8</v>
      </c>
      <c r="D54" s="10" t="s">
        <v>11</v>
      </c>
      <c r="E54" s="10">
        <v>40</v>
      </c>
      <c r="F54" s="28"/>
      <c r="G54" s="118"/>
      <c r="I54" s="19">
        <v>22</v>
      </c>
      <c r="J54" s="20" t="s">
        <v>49</v>
      </c>
      <c r="K54" s="21" t="s">
        <v>8</v>
      </c>
      <c r="L54" s="21" t="s">
        <v>11</v>
      </c>
      <c r="M54" s="22">
        <v>61</v>
      </c>
      <c r="N54" s="21"/>
      <c r="O54" s="116"/>
      <c r="Q54" s="29">
        <v>61</v>
      </c>
      <c r="R54" s="30" t="s">
        <v>48</v>
      </c>
      <c r="S54" s="29" t="s">
        <v>30</v>
      </c>
      <c r="T54" s="29" t="s">
        <v>9</v>
      </c>
      <c r="U54" s="29">
        <v>2913</v>
      </c>
      <c r="V54" s="125">
        <f>SUM(U54:U63)</f>
        <v>6036</v>
      </c>
      <c r="W54" s="27"/>
    </row>
    <row r="55" spans="1:23" x14ac:dyDescent="0.25">
      <c r="A55" s="10">
        <v>22</v>
      </c>
      <c r="B55" s="9" t="s">
        <v>49</v>
      </c>
      <c r="C55" s="10" t="s">
        <v>8</v>
      </c>
      <c r="D55" s="10" t="s">
        <v>12</v>
      </c>
      <c r="E55" s="10">
        <v>182</v>
      </c>
      <c r="F55" s="28"/>
      <c r="G55" s="118"/>
      <c r="I55" s="19">
        <v>22</v>
      </c>
      <c r="J55" s="20" t="s">
        <v>49</v>
      </c>
      <c r="K55" s="21" t="s">
        <v>8</v>
      </c>
      <c r="L55" s="21" t="s">
        <v>12</v>
      </c>
      <c r="M55" s="22">
        <v>178</v>
      </c>
      <c r="N55" s="21"/>
      <c r="O55" s="116"/>
      <c r="Q55" s="29">
        <v>61</v>
      </c>
      <c r="R55" s="30" t="s">
        <v>48</v>
      </c>
      <c r="S55" s="29" t="s">
        <v>30</v>
      </c>
      <c r="T55" s="29" t="s">
        <v>16</v>
      </c>
      <c r="U55" s="29">
        <v>1490</v>
      </c>
      <c r="V55" s="126"/>
      <c r="W55" s="27"/>
    </row>
    <row r="56" spans="1:23" x14ac:dyDescent="0.25">
      <c r="A56" s="10">
        <v>22</v>
      </c>
      <c r="B56" s="9" t="s">
        <v>49</v>
      </c>
      <c r="C56" s="10" t="s">
        <v>8</v>
      </c>
      <c r="D56" s="10" t="s">
        <v>13</v>
      </c>
      <c r="E56" s="10">
        <v>77</v>
      </c>
      <c r="F56" s="28"/>
      <c r="G56" s="118"/>
      <c r="I56" s="19">
        <v>22</v>
      </c>
      <c r="J56" s="20" t="s">
        <v>49</v>
      </c>
      <c r="K56" s="21" t="s">
        <v>8</v>
      </c>
      <c r="L56" s="21" t="s">
        <v>13</v>
      </c>
      <c r="M56" s="22">
        <v>85</v>
      </c>
      <c r="N56" s="21"/>
      <c r="O56" s="116"/>
      <c r="Q56" s="29">
        <v>61</v>
      </c>
      <c r="R56" s="30" t="s">
        <v>48</v>
      </c>
      <c r="S56" s="29" t="s">
        <v>30</v>
      </c>
      <c r="T56" s="29" t="s">
        <v>31</v>
      </c>
      <c r="U56" s="29">
        <v>1051</v>
      </c>
      <c r="V56" s="126"/>
      <c r="W56" s="27"/>
    </row>
    <row r="57" spans="1:23" x14ac:dyDescent="0.25">
      <c r="A57" s="10">
        <v>22</v>
      </c>
      <c r="B57" s="9" t="s">
        <v>49</v>
      </c>
      <c r="C57" s="10" t="s">
        <v>8</v>
      </c>
      <c r="D57" s="10" t="s">
        <v>14</v>
      </c>
      <c r="E57" s="10">
        <v>3019</v>
      </c>
      <c r="F57" s="28"/>
      <c r="G57" s="118"/>
      <c r="I57" s="19">
        <v>22</v>
      </c>
      <c r="J57" s="20" t="s">
        <v>49</v>
      </c>
      <c r="K57" s="21" t="s">
        <v>8</v>
      </c>
      <c r="L57" s="21" t="s">
        <v>39</v>
      </c>
      <c r="M57" s="22">
        <v>2793</v>
      </c>
      <c r="N57" s="21"/>
      <c r="O57" s="116"/>
      <c r="Q57" s="29">
        <v>61</v>
      </c>
      <c r="R57" s="30" t="s">
        <v>48</v>
      </c>
      <c r="S57" s="29" t="s">
        <v>30</v>
      </c>
      <c r="T57" s="29" t="s">
        <v>32</v>
      </c>
      <c r="U57" s="29">
        <v>178</v>
      </c>
      <c r="V57" s="126"/>
      <c r="W57" s="27"/>
    </row>
    <row r="58" spans="1:23" x14ac:dyDescent="0.25">
      <c r="A58" s="10">
        <v>22</v>
      </c>
      <c r="B58" s="9" t="s">
        <v>49</v>
      </c>
      <c r="C58" s="10" t="s">
        <v>8</v>
      </c>
      <c r="D58" s="10" t="s">
        <v>15</v>
      </c>
      <c r="E58" s="10">
        <v>210</v>
      </c>
      <c r="F58" s="28"/>
      <c r="G58" s="118"/>
      <c r="I58" s="19">
        <v>22</v>
      </c>
      <c r="J58" s="20" t="s">
        <v>49</v>
      </c>
      <c r="K58" s="21" t="s">
        <v>8</v>
      </c>
      <c r="L58" s="21" t="s">
        <v>15</v>
      </c>
      <c r="M58" s="22">
        <v>89</v>
      </c>
      <c r="N58" s="21"/>
      <c r="O58" s="116"/>
      <c r="Q58" s="29">
        <v>61</v>
      </c>
      <c r="R58" s="30" t="s">
        <v>48</v>
      </c>
      <c r="S58" s="29" t="s">
        <v>30</v>
      </c>
      <c r="T58" s="29" t="s">
        <v>33</v>
      </c>
      <c r="U58" s="29">
        <v>159</v>
      </c>
      <c r="V58" s="126"/>
      <c r="W58" s="27"/>
    </row>
    <row r="59" spans="1:23" x14ac:dyDescent="0.25">
      <c r="A59" s="10">
        <v>22</v>
      </c>
      <c r="B59" s="9" t="s">
        <v>49</v>
      </c>
      <c r="C59" s="10" t="s">
        <v>8</v>
      </c>
      <c r="D59" s="10" t="s">
        <v>16</v>
      </c>
      <c r="E59" s="10">
        <v>76</v>
      </c>
      <c r="F59" s="28">
        <f>SUM(E52:E59)</f>
        <v>5375</v>
      </c>
      <c r="G59" s="118"/>
      <c r="I59" s="19">
        <v>22</v>
      </c>
      <c r="J59" s="20" t="s">
        <v>49</v>
      </c>
      <c r="K59" s="21" t="s">
        <v>8</v>
      </c>
      <c r="L59" s="21" t="s">
        <v>16</v>
      </c>
      <c r="M59" s="22">
        <v>50</v>
      </c>
      <c r="N59" s="22">
        <v>5567</v>
      </c>
      <c r="O59" s="116"/>
      <c r="Q59" s="29">
        <v>61</v>
      </c>
      <c r="R59" s="30" t="s">
        <v>48</v>
      </c>
      <c r="S59" s="29" t="s">
        <v>30</v>
      </c>
      <c r="T59" s="29" t="s">
        <v>15</v>
      </c>
      <c r="U59" s="29">
        <v>116</v>
      </c>
      <c r="V59" s="126"/>
      <c r="W59" s="27"/>
    </row>
    <row r="60" spans="1:23" x14ac:dyDescent="0.25">
      <c r="A60" s="29">
        <v>82</v>
      </c>
      <c r="B60" s="30" t="s">
        <v>50</v>
      </c>
      <c r="C60" s="29" t="s">
        <v>8</v>
      </c>
      <c r="D60" s="29" t="s">
        <v>9</v>
      </c>
      <c r="E60" s="29">
        <v>1930</v>
      </c>
      <c r="F60" s="27"/>
      <c r="G60" s="133">
        <v>6960</v>
      </c>
      <c r="I60" s="15">
        <v>48</v>
      </c>
      <c r="J60" s="16" t="s">
        <v>51</v>
      </c>
      <c r="K60" s="17" t="s">
        <v>8</v>
      </c>
      <c r="L60" s="17" t="s">
        <v>9</v>
      </c>
      <c r="M60" s="18">
        <v>1912</v>
      </c>
      <c r="N60" s="17"/>
      <c r="O60" s="113">
        <v>5433</v>
      </c>
      <c r="Q60" s="29">
        <v>61</v>
      </c>
      <c r="R60" s="30" t="s">
        <v>48</v>
      </c>
      <c r="S60" s="29" t="s">
        <v>30</v>
      </c>
      <c r="T60" s="29" t="s">
        <v>34</v>
      </c>
      <c r="U60" s="29">
        <v>50</v>
      </c>
      <c r="V60" s="126"/>
      <c r="W60" s="27"/>
    </row>
    <row r="61" spans="1:23" x14ac:dyDescent="0.25">
      <c r="A61" s="29">
        <v>82</v>
      </c>
      <c r="B61" s="30" t="s">
        <v>50</v>
      </c>
      <c r="C61" s="29" t="s">
        <v>8</v>
      </c>
      <c r="D61" s="29" t="s">
        <v>10</v>
      </c>
      <c r="E61" s="29">
        <v>64</v>
      </c>
      <c r="F61" s="27"/>
      <c r="G61" s="114"/>
      <c r="I61" s="15">
        <v>48</v>
      </c>
      <c r="J61" s="16" t="s">
        <v>51</v>
      </c>
      <c r="K61" s="17" t="s">
        <v>8</v>
      </c>
      <c r="L61" s="17" t="s">
        <v>10</v>
      </c>
      <c r="M61" s="18">
        <v>30</v>
      </c>
      <c r="N61" s="17"/>
      <c r="O61" s="114"/>
      <c r="Q61" s="29">
        <v>61</v>
      </c>
      <c r="R61" s="30" t="s">
        <v>48</v>
      </c>
      <c r="S61" s="29" t="s">
        <v>30</v>
      </c>
      <c r="T61" s="29" t="s">
        <v>37</v>
      </c>
      <c r="U61" s="29">
        <v>28</v>
      </c>
      <c r="V61" s="126"/>
      <c r="W61" s="27"/>
    </row>
    <row r="62" spans="1:23" x14ac:dyDescent="0.25">
      <c r="A62" s="29">
        <v>82</v>
      </c>
      <c r="B62" s="30" t="s">
        <v>50</v>
      </c>
      <c r="C62" s="29" t="s">
        <v>8</v>
      </c>
      <c r="D62" s="29" t="s">
        <v>11</v>
      </c>
      <c r="E62" s="29">
        <v>56</v>
      </c>
      <c r="F62" s="27"/>
      <c r="G62" s="114"/>
      <c r="I62" s="15">
        <v>48</v>
      </c>
      <c r="J62" s="16" t="s">
        <v>51</v>
      </c>
      <c r="K62" s="17" t="s">
        <v>8</v>
      </c>
      <c r="L62" s="17" t="s">
        <v>11</v>
      </c>
      <c r="M62" s="18">
        <v>42</v>
      </c>
      <c r="N62" s="17"/>
      <c r="O62" s="114"/>
      <c r="Q62" s="29">
        <v>61</v>
      </c>
      <c r="R62" s="30" t="s">
        <v>48</v>
      </c>
      <c r="S62" s="29" t="s">
        <v>30</v>
      </c>
      <c r="T62" s="29" t="s">
        <v>35</v>
      </c>
      <c r="U62" s="29">
        <v>28</v>
      </c>
      <c r="V62" s="126"/>
      <c r="W62" s="27"/>
    </row>
    <row r="63" spans="1:23" x14ac:dyDescent="0.25">
      <c r="A63" s="29">
        <v>82</v>
      </c>
      <c r="B63" s="30" t="s">
        <v>50</v>
      </c>
      <c r="C63" s="29" t="s">
        <v>8</v>
      </c>
      <c r="D63" s="29" t="s">
        <v>12</v>
      </c>
      <c r="E63" s="29">
        <v>126</v>
      </c>
      <c r="F63" s="27"/>
      <c r="G63" s="114"/>
      <c r="I63" s="15">
        <v>48</v>
      </c>
      <c r="J63" s="16" t="s">
        <v>51</v>
      </c>
      <c r="K63" s="17" t="s">
        <v>8</v>
      </c>
      <c r="L63" s="17" t="s">
        <v>12</v>
      </c>
      <c r="M63" s="18">
        <v>91</v>
      </c>
      <c r="N63" s="17"/>
      <c r="O63" s="114"/>
      <c r="Q63" s="29">
        <v>61</v>
      </c>
      <c r="R63" s="30" t="s">
        <v>48</v>
      </c>
      <c r="S63" s="29" t="s">
        <v>30</v>
      </c>
      <c r="T63" s="29" t="s">
        <v>36</v>
      </c>
      <c r="U63" s="29">
        <v>23</v>
      </c>
      <c r="V63" s="127"/>
      <c r="W63" s="27"/>
    </row>
    <row r="64" spans="1:23" x14ac:dyDescent="0.25">
      <c r="A64" s="29">
        <v>82</v>
      </c>
      <c r="B64" s="30" t="s">
        <v>50</v>
      </c>
      <c r="C64" s="29" t="s">
        <v>8</v>
      </c>
      <c r="D64" s="29" t="s">
        <v>13</v>
      </c>
      <c r="E64" s="29">
        <v>90</v>
      </c>
      <c r="F64" s="27"/>
      <c r="G64" s="114"/>
      <c r="I64" s="15">
        <v>48</v>
      </c>
      <c r="J64" s="16" t="s">
        <v>51</v>
      </c>
      <c r="K64" s="17" t="s">
        <v>8</v>
      </c>
      <c r="L64" s="17" t="s">
        <v>13</v>
      </c>
      <c r="M64" s="18">
        <v>47</v>
      </c>
      <c r="N64" s="17"/>
      <c r="O64" s="114"/>
      <c r="Q64" s="100">
        <v>22</v>
      </c>
      <c r="R64" s="101" t="s">
        <v>49</v>
      </c>
      <c r="S64" s="100" t="s">
        <v>30</v>
      </c>
      <c r="T64" s="100" t="s">
        <v>9</v>
      </c>
      <c r="U64" s="100">
        <v>3109</v>
      </c>
      <c r="V64" s="122">
        <f>SUM(U64:U73)</f>
        <v>5843</v>
      </c>
      <c r="W64" s="26"/>
    </row>
    <row r="65" spans="1:23" x14ac:dyDescent="0.25">
      <c r="A65" s="29">
        <v>82</v>
      </c>
      <c r="B65" s="30" t="s">
        <v>50</v>
      </c>
      <c r="C65" s="29" t="s">
        <v>8</v>
      </c>
      <c r="D65" s="29" t="s">
        <v>14</v>
      </c>
      <c r="E65" s="29">
        <v>2386</v>
      </c>
      <c r="F65" s="27"/>
      <c r="G65" s="114"/>
      <c r="I65" s="15">
        <v>48</v>
      </c>
      <c r="J65" s="16" t="s">
        <v>51</v>
      </c>
      <c r="K65" s="17" t="s">
        <v>8</v>
      </c>
      <c r="L65" s="17" t="s">
        <v>39</v>
      </c>
      <c r="M65" s="18">
        <v>1844</v>
      </c>
      <c r="N65" s="17"/>
      <c r="O65" s="114"/>
      <c r="Q65" s="100">
        <v>22</v>
      </c>
      <c r="R65" s="101" t="s">
        <v>49</v>
      </c>
      <c r="S65" s="100" t="s">
        <v>30</v>
      </c>
      <c r="T65" s="100" t="s">
        <v>31</v>
      </c>
      <c r="U65" s="100">
        <v>1590</v>
      </c>
      <c r="V65" s="123"/>
      <c r="W65" s="26"/>
    </row>
    <row r="66" spans="1:23" x14ac:dyDescent="0.25">
      <c r="A66" s="29">
        <v>82</v>
      </c>
      <c r="B66" s="30" t="s">
        <v>50</v>
      </c>
      <c r="C66" s="29" t="s">
        <v>8</v>
      </c>
      <c r="D66" s="29" t="s">
        <v>15</v>
      </c>
      <c r="E66" s="29">
        <v>291</v>
      </c>
      <c r="F66" s="27"/>
      <c r="G66" s="114"/>
      <c r="I66" s="15">
        <v>48</v>
      </c>
      <c r="J66" s="16" t="s">
        <v>51</v>
      </c>
      <c r="K66" s="17" t="s">
        <v>8</v>
      </c>
      <c r="L66" s="17" t="s">
        <v>15</v>
      </c>
      <c r="M66" s="18">
        <v>91</v>
      </c>
      <c r="N66" s="17"/>
      <c r="O66" s="114"/>
      <c r="Q66" s="100">
        <v>22</v>
      </c>
      <c r="R66" s="101" t="s">
        <v>49</v>
      </c>
      <c r="S66" s="100" t="s">
        <v>30</v>
      </c>
      <c r="T66" s="100" t="s">
        <v>16</v>
      </c>
      <c r="U66" s="100">
        <v>678</v>
      </c>
      <c r="V66" s="123"/>
      <c r="W66" s="26"/>
    </row>
    <row r="67" spans="1:23" x14ac:dyDescent="0.25">
      <c r="A67" s="29">
        <v>82</v>
      </c>
      <c r="B67" s="30" t="s">
        <v>50</v>
      </c>
      <c r="C67" s="29" t="s">
        <v>8</v>
      </c>
      <c r="D67" s="29" t="s">
        <v>16</v>
      </c>
      <c r="E67" s="29">
        <v>83</v>
      </c>
      <c r="F67" s="27">
        <f>SUM(E60:E67)</f>
        <v>5026</v>
      </c>
      <c r="G67" s="114"/>
      <c r="I67" s="15">
        <v>48</v>
      </c>
      <c r="J67" s="16" t="s">
        <v>51</v>
      </c>
      <c r="K67" s="17" t="s">
        <v>8</v>
      </c>
      <c r="L67" s="17" t="s">
        <v>16</v>
      </c>
      <c r="M67" s="18">
        <v>39</v>
      </c>
      <c r="N67" s="18">
        <v>4096</v>
      </c>
      <c r="O67" s="114"/>
      <c r="Q67" s="100">
        <v>22</v>
      </c>
      <c r="R67" s="101" t="s">
        <v>49</v>
      </c>
      <c r="S67" s="100" t="s">
        <v>30</v>
      </c>
      <c r="T67" s="100" t="s">
        <v>33</v>
      </c>
      <c r="U67" s="100">
        <v>218</v>
      </c>
      <c r="V67" s="123"/>
      <c r="W67" s="26"/>
    </row>
    <row r="68" spans="1:23" x14ac:dyDescent="0.25">
      <c r="A68" s="10">
        <v>48</v>
      </c>
      <c r="B68" s="9" t="s">
        <v>51</v>
      </c>
      <c r="C68" s="10" t="s">
        <v>8</v>
      </c>
      <c r="D68" s="10" t="s">
        <v>9</v>
      </c>
      <c r="E68" s="10">
        <v>1695</v>
      </c>
      <c r="F68" s="28"/>
      <c r="G68" s="117">
        <v>5433</v>
      </c>
      <c r="I68" s="19">
        <v>82</v>
      </c>
      <c r="J68" s="20" t="s">
        <v>50</v>
      </c>
      <c r="K68" s="21" t="s">
        <v>8</v>
      </c>
      <c r="L68" s="21" t="s">
        <v>9</v>
      </c>
      <c r="M68" s="22">
        <v>2177</v>
      </c>
      <c r="N68" s="21"/>
      <c r="O68" s="115">
        <v>6960</v>
      </c>
      <c r="Q68" s="100">
        <v>22</v>
      </c>
      <c r="R68" s="101" t="s">
        <v>49</v>
      </c>
      <c r="S68" s="100" t="s">
        <v>30</v>
      </c>
      <c r="T68" s="100" t="s">
        <v>32</v>
      </c>
      <c r="U68" s="100">
        <v>116</v>
      </c>
      <c r="V68" s="123"/>
      <c r="W68" s="26"/>
    </row>
    <row r="69" spans="1:23" x14ac:dyDescent="0.25">
      <c r="A69" s="10">
        <v>48</v>
      </c>
      <c r="B69" s="9" t="s">
        <v>51</v>
      </c>
      <c r="C69" s="10" t="s">
        <v>8</v>
      </c>
      <c r="D69" s="10" t="s">
        <v>10</v>
      </c>
      <c r="E69" s="10">
        <v>34</v>
      </c>
      <c r="F69" s="28"/>
      <c r="G69" s="118"/>
      <c r="I69" s="19">
        <v>82</v>
      </c>
      <c r="J69" s="20" t="s">
        <v>50</v>
      </c>
      <c r="K69" s="21" t="s">
        <v>8</v>
      </c>
      <c r="L69" s="21" t="s">
        <v>10</v>
      </c>
      <c r="M69" s="22">
        <v>51</v>
      </c>
      <c r="N69" s="21"/>
      <c r="O69" s="116"/>
      <c r="Q69" s="100">
        <v>22</v>
      </c>
      <c r="R69" s="101" t="s">
        <v>49</v>
      </c>
      <c r="S69" s="100" t="s">
        <v>30</v>
      </c>
      <c r="T69" s="100" t="s">
        <v>15</v>
      </c>
      <c r="U69" s="100">
        <v>65</v>
      </c>
      <c r="V69" s="123"/>
      <c r="W69" s="26"/>
    </row>
    <row r="70" spans="1:23" x14ac:dyDescent="0.25">
      <c r="A70" s="10">
        <v>48</v>
      </c>
      <c r="B70" s="9" t="s">
        <v>51</v>
      </c>
      <c r="C70" s="10" t="s">
        <v>8</v>
      </c>
      <c r="D70" s="10" t="s">
        <v>11</v>
      </c>
      <c r="E70" s="10">
        <v>38</v>
      </c>
      <c r="F70" s="28"/>
      <c r="G70" s="118"/>
      <c r="I70" s="19">
        <v>82</v>
      </c>
      <c r="J70" s="20" t="s">
        <v>50</v>
      </c>
      <c r="K70" s="21" t="s">
        <v>8</v>
      </c>
      <c r="L70" s="21" t="s">
        <v>11</v>
      </c>
      <c r="M70" s="22">
        <v>63</v>
      </c>
      <c r="N70" s="21"/>
      <c r="O70" s="116"/>
      <c r="Q70" s="100">
        <v>22</v>
      </c>
      <c r="R70" s="101" t="s">
        <v>49</v>
      </c>
      <c r="S70" s="100" t="s">
        <v>30</v>
      </c>
      <c r="T70" s="100" t="s">
        <v>35</v>
      </c>
      <c r="U70" s="100">
        <v>34</v>
      </c>
      <c r="V70" s="123"/>
      <c r="W70" s="26"/>
    </row>
    <row r="71" spans="1:23" x14ac:dyDescent="0.25">
      <c r="A71" s="10">
        <v>48</v>
      </c>
      <c r="B71" s="9" t="s">
        <v>51</v>
      </c>
      <c r="C71" s="10" t="s">
        <v>8</v>
      </c>
      <c r="D71" s="10" t="s">
        <v>12</v>
      </c>
      <c r="E71" s="10">
        <v>175</v>
      </c>
      <c r="F71" s="28"/>
      <c r="G71" s="118"/>
      <c r="I71" s="19">
        <v>82</v>
      </c>
      <c r="J71" s="20" t="s">
        <v>50</v>
      </c>
      <c r="K71" s="21" t="s">
        <v>8</v>
      </c>
      <c r="L71" s="21" t="s">
        <v>12</v>
      </c>
      <c r="M71" s="22">
        <v>87</v>
      </c>
      <c r="N71" s="21"/>
      <c r="O71" s="116"/>
      <c r="Q71" s="100">
        <v>22</v>
      </c>
      <c r="R71" s="101" t="s">
        <v>49</v>
      </c>
      <c r="S71" s="100" t="s">
        <v>30</v>
      </c>
      <c r="T71" s="100" t="s">
        <v>34</v>
      </c>
      <c r="U71" s="100">
        <v>14</v>
      </c>
      <c r="V71" s="123"/>
      <c r="W71" s="26"/>
    </row>
    <row r="72" spans="1:23" x14ac:dyDescent="0.25">
      <c r="A72" s="10">
        <v>48</v>
      </c>
      <c r="B72" s="9" t="s">
        <v>51</v>
      </c>
      <c r="C72" s="10" t="s">
        <v>8</v>
      </c>
      <c r="D72" s="10" t="s">
        <v>13</v>
      </c>
      <c r="E72" s="10">
        <v>49</v>
      </c>
      <c r="F72" s="28"/>
      <c r="G72" s="118"/>
      <c r="I72" s="19">
        <v>82</v>
      </c>
      <c r="J72" s="20" t="s">
        <v>50</v>
      </c>
      <c r="K72" s="21" t="s">
        <v>8</v>
      </c>
      <c r="L72" s="21" t="s">
        <v>13</v>
      </c>
      <c r="M72" s="22">
        <v>87</v>
      </c>
      <c r="N72" s="21"/>
      <c r="O72" s="116"/>
      <c r="Q72" s="100">
        <v>22</v>
      </c>
      <c r="R72" s="101" t="s">
        <v>49</v>
      </c>
      <c r="S72" s="100" t="s">
        <v>30</v>
      </c>
      <c r="T72" s="100" t="s">
        <v>37</v>
      </c>
      <c r="U72" s="100">
        <v>11</v>
      </c>
      <c r="V72" s="123"/>
      <c r="W72" s="26"/>
    </row>
    <row r="73" spans="1:23" x14ac:dyDescent="0.25">
      <c r="A73" s="10">
        <v>48</v>
      </c>
      <c r="B73" s="9" t="s">
        <v>51</v>
      </c>
      <c r="C73" s="10" t="s">
        <v>8</v>
      </c>
      <c r="D73" s="10" t="s">
        <v>14</v>
      </c>
      <c r="E73" s="10">
        <v>1681</v>
      </c>
      <c r="F73" s="28"/>
      <c r="G73" s="118"/>
      <c r="I73" s="19">
        <v>82</v>
      </c>
      <c r="J73" s="20" t="s">
        <v>50</v>
      </c>
      <c r="K73" s="21" t="s">
        <v>8</v>
      </c>
      <c r="L73" s="21" t="s">
        <v>39</v>
      </c>
      <c r="M73" s="22">
        <v>2614</v>
      </c>
      <c r="N73" s="21"/>
      <c r="O73" s="116"/>
      <c r="Q73" s="100">
        <v>22</v>
      </c>
      <c r="R73" s="101" t="s">
        <v>49</v>
      </c>
      <c r="S73" s="100" t="s">
        <v>30</v>
      </c>
      <c r="T73" s="100" t="s">
        <v>36</v>
      </c>
      <c r="U73" s="100">
        <v>8</v>
      </c>
      <c r="V73" s="124"/>
      <c r="W73" s="26"/>
    </row>
    <row r="74" spans="1:23" x14ac:dyDescent="0.25">
      <c r="A74" s="10">
        <v>48</v>
      </c>
      <c r="B74" s="9" t="s">
        <v>51</v>
      </c>
      <c r="C74" s="10" t="s">
        <v>8</v>
      </c>
      <c r="D74" s="10" t="s">
        <v>15</v>
      </c>
      <c r="E74" s="10">
        <v>205</v>
      </c>
      <c r="F74" s="28"/>
      <c r="G74" s="118"/>
      <c r="I74" s="19">
        <v>82</v>
      </c>
      <c r="J74" s="20" t="s">
        <v>50</v>
      </c>
      <c r="K74" s="21" t="s">
        <v>8</v>
      </c>
      <c r="L74" s="21" t="s">
        <v>15</v>
      </c>
      <c r="M74" s="22">
        <v>124</v>
      </c>
      <c r="N74" s="21"/>
      <c r="O74" s="116"/>
      <c r="Q74" s="29">
        <v>82</v>
      </c>
      <c r="R74" s="30" t="s">
        <v>50</v>
      </c>
      <c r="S74" s="29" t="s">
        <v>30</v>
      </c>
      <c r="T74" s="29" t="s">
        <v>9</v>
      </c>
      <c r="U74" s="29">
        <v>2815</v>
      </c>
      <c r="V74" s="125">
        <f>SUM(U74:U83)</f>
        <v>5376</v>
      </c>
      <c r="W74" s="27"/>
    </row>
    <row r="75" spans="1:23" x14ac:dyDescent="0.25">
      <c r="A75" s="10">
        <v>48</v>
      </c>
      <c r="B75" s="9" t="s">
        <v>51</v>
      </c>
      <c r="C75" s="10" t="s">
        <v>8</v>
      </c>
      <c r="D75" s="10" t="s">
        <v>16</v>
      </c>
      <c r="E75" s="10">
        <v>61</v>
      </c>
      <c r="F75" s="28">
        <f>SUM(E68:E75)</f>
        <v>3938</v>
      </c>
      <c r="G75" s="118"/>
      <c r="I75" s="19">
        <v>82</v>
      </c>
      <c r="J75" s="20" t="s">
        <v>50</v>
      </c>
      <c r="K75" s="21" t="s">
        <v>8</v>
      </c>
      <c r="L75" s="21" t="s">
        <v>16</v>
      </c>
      <c r="M75" s="22">
        <v>47</v>
      </c>
      <c r="N75" s="22">
        <v>5250</v>
      </c>
      <c r="O75" s="116"/>
      <c r="Q75" s="29">
        <v>82</v>
      </c>
      <c r="R75" s="30" t="s">
        <v>50</v>
      </c>
      <c r="S75" s="29" t="s">
        <v>30</v>
      </c>
      <c r="T75" s="29" t="s">
        <v>31</v>
      </c>
      <c r="U75" s="29">
        <v>1829</v>
      </c>
      <c r="V75" s="126"/>
      <c r="W75" s="27"/>
    </row>
    <row r="76" spans="1:23" x14ac:dyDescent="0.25">
      <c r="A76" s="29">
        <v>36</v>
      </c>
      <c r="B76" s="30" t="s">
        <v>52</v>
      </c>
      <c r="C76" s="29" t="s">
        <v>8</v>
      </c>
      <c r="D76" s="29" t="s">
        <v>9</v>
      </c>
      <c r="E76" s="29">
        <v>751</v>
      </c>
      <c r="F76" s="27"/>
      <c r="G76" s="133">
        <v>4249</v>
      </c>
      <c r="I76" s="15">
        <v>2</v>
      </c>
      <c r="J76" s="16" t="s">
        <v>53</v>
      </c>
      <c r="K76" s="17" t="s">
        <v>8</v>
      </c>
      <c r="L76" s="17" t="s">
        <v>9</v>
      </c>
      <c r="M76" s="18">
        <v>1806</v>
      </c>
      <c r="N76" s="17"/>
      <c r="O76" s="113">
        <v>4555</v>
      </c>
      <c r="Q76" s="29">
        <v>82</v>
      </c>
      <c r="R76" s="30" t="s">
        <v>50</v>
      </c>
      <c r="S76" s="29" t="s">
        <v>30</v>
      </c>
      <c r="T76" s="29" t="s">
        <v>35</v>
      </c>
      <c r="U76" s="29">
        <v>188</v>
      </c>
      <c r="V76" s="126"/>
      <c r="W76" s="27"/>
    </row>
    <row r="77" spans="1:23" x14ac:dyDescent="0.25">
      <c r="A77" s="29">
        <v>36</v>
      </c>
      <c r="B77" s="30" t="s">
        <v>52</v>
      </c>
      <c r="C77" s="29" t="s">
        <v>8</v>
      </c>
      <c r="D77" s="29" t="s">
        <v>10</v>
      </c>
      <c r="E77" s="29">
        <v>32</v>
      </c>
      <c r="F77" s="27"/>
      <c r="G77" s="114"/>
      <c r="I77" s="15">
        <v>2</v>
      </c>
      <c r="J77" s="16" t="s">
        <v>53</v>
      </c>
      <c r="K77" s="17" t="s">
        <v>8</v>
      </c>
      <c r="L77" s="17" t="s">
        <v>10</v>
      </c>
      <c r="M77" s="18">
        <v>31</v>
      </c>
      <c r="N77" s="17"/>
      <c r="O77" s="114"/>
      <c r="Q77" s="29">
        <v>82</v>
      </c>
      <c r="R77" s="30" t="s">
        <v>50</v>
      </c>
      <c r="S77" s="29" t="s">
        <v>30</v>
      </c>
      <c r="T77" s="29" t="s">
        <v>33</v>
      </c>
      <c r="U77" s="29">
        <v>152</v>
      </c>
      <c r="V77" s="126"/>
      <c r="W77" s="27"/>
    </row>
    <row r="78" spans="1:23" x14ac:dyDescent="0.25">
      <c r="A78" s="29">
        <v>36</v>
      </c>
      <c r="B78" s="30" t="s">
        <v>52</v>
      </c>
      <c r="C78" s="29" t="s">
        <v>8</v>
      </c>
      <c r="D78" s="29" t="s">
        <v>11</v>
      </c>
      <c r="E78" s="29">
        <v>28</v>
      </c>
      <c r="F78" s="27"/>
      <c r="G78" s="114"/>
      <c r="I78" s="15">
        <v>2</v>
      </c>
      <c r="J78" s="16" t="s">
        <v>53</v>
      </c>
      <c r="K78" s="17" t="s">
        <v>8</v>
      </c>
      <c r="L78" s="17" t="s">
        <v>11</v>
      </c>
      <c r="M78" s="18">
        <v>33</v>
      </c>
      <c r="N78" s="17"/>
      <c r="O78" s="114"/>
      <c r="Q78" s="29">
        <v>82</v>
      </c>
      <c r="R78" s="30" t="s">
        <v>50</v>
      </c>
      <c r="S78" s="29" t="s">
        <v>30</v>
      </c>
      <c r="T78" s="29" t="s">
        <v>16</v>
      </c>
      <c r="U78" s="29">
        <v>141</v>
      </c>
      <c r="V78" s="126"/>
      <c r="W78" s="27"/>
    </row>
    <row r="79" spans="1:23" x14ac:dyDescent="0.25">
      <c r="A79" s="29">
        <v>36</v>
      </c>
      <c r="B79" s="30" t="s">
        <v>52</v>
      </c>
      <c r="C79" s="29" t="s">
        <v>8</v>
      </c>
      <c r="D79" s="29" t="s">
        <v>12</v>
      </c>
      <c r="E79" s="29">
        <v>56</v>
      </c>
      <c r="F79" s="27"/>
      <c r="G79" s="114"/>
      <c r="I79" s="15">
        <v>2</v>
      </c>
      <c r="J79" s="16" t="s">
        <v>53</v>
      </c>
      <c r="K79" s="17" t="s">
        <v>8</v>
      </c>
      <c r="L79" s="17" t="s">
        <v>12</v>
      </c>
      <c r="M79" s="18">
        <v>53</v>
      </c>
      <c r="N79" s="17"/>
      <c r="O79" s="114"/>
      <c r="Q79" s="29">
        <v>82</v>
      </c>
      <c r="R79" s="30" t="s">
        <v>50</v>
      </c>
      <c r="S79" s="29" t="s">
        <v>30</v>
      </c>
      <c r="T79" s="29" t="s">
        <v>32</v>
      </c>
      <c r="U79" s="29">
        <v>109</v>
      </c>
      <c r="V79" s="126"/>
      <c r="W79" s="27"/>
    </row>
    <row r="80" spans="1:23" x14ac:dyDescent="0.25">
      <c r="A80" s="29">
        <v>36</v>
      </c>
      <c r="B80" s="30" t="s">
        <v>52</v>
      </c>
      <c r="C80" s="29" t="s">
        <v>8</v>
      </c>
      <c r="D80" s="29" t="s">
        <v>13</v>
      </c>
      <c r="E80" s="29">
        <v>62</v>
      </c>
      <c r="F80" s="27"/>
      <c r="G80" s="114"/>
      <c r="I80" s="15">
        <v>2</v>
      </c>
      <c r="J80" s="16" t="s">
        <v>53</v>
      </c>
      <c r="K80" s="17" t="s">
        <v>8</v>
      </c>
      <c r="L80" s="17" t="s">
        <v>13</v>
      </c>
      <c r="M80" s="18">
        <v>42</v>
      </c>
      <c r="N80" s="17"/>
      <c r="O80" s="114"/>
      <c r="Q80" s="29">
        <v>82</v>
      </c>
      <c r="R80" s="30" t="s">
        <v>50</v>
      </c>
      <c r="S80" s="29" t="s">
        <v>30</v>
      </c>
      <c r="T80" s="29" t="s">
        <v>15</v>
      </c>
      <c r="U80" s="29">
        <v>70</v>
      </c>
      <c r="V80" s="126"/>
      <c r="W80" s="27"/>
    </row>
    <row r="81" spans="1:23" x14ac:dyDescent="0.25">
      <c r="A81" s="29">
        <v>36</v>
      </c>
      <c r="B81" s="30" t="s">
        <v>52</v>
      </c>
      <c r="C81" s="29" t="s">
        <v>8</v>
      </c>
      <c r="D81" s="29" t="s">
        <v>14</v>
      </c>
      <c r="E81" s="29">
        <v>1718</v>
      </c>
      <c r="F81" s="27"/>
      <c r="G81" s="114"/>
      <c r="I81" s="15">
        <v>2</v>
      </c>
      <c r="J81" s="16" t="s">
        <v>53</v>
      </c>
      <c r="K81" s="17" t="s">
        <v>8</v>
      </c>
      <c r="L81" s="17" t="s">
        <v>39</v>
      </c>
      <c r="M81" s="18">
        <v>1721</v>
      </c>
      <c r="N81" s="17"/>
      <c r="O81" s="114"/>
      <c r="Q81" s="29">
        <v>82</v>
      </c>
      <c r="R81" s="30" t="s">
        <v>50</v>
      </c>
      <c r="S81" s="29" t="s">
        <v>30</v>
      </c>
      <c r="T81" s="29" t="s">
        <v>34</v>
      </c>
      <c r="U81" s="29">
        <v>31</v>
      </c>
      <c r="V81" s="126"/>
      <c r="W81" s="27"/>
    </row>
    <row r="82" spans="1:23" x14ac:dyDescent="0.25">
      <c r="A82" s="29">
        <v>36</v>
      </c>
      <c r="B82" s="30" t="s">
        <v>52</v>
      </c>
      <c r="C82" s="29" t="s">
        <v>8</v>
      </c>
      <c r="D82" s="29" t="s">
        <v>15</v>
      </c>
      <c r="E82" s="29">
        <v>78</v>
      </c>
      <c r="F82" s="27"/>
      <c r="G82" s="114"/>
      <c r="I82" s="15">
        <v>2</v>
      </c>
      <c r="J82" s="16" t="s">
        <v>53</v>
      </c>
      <c r="K82" s="17" t="s">
        <v>8</v>
      </c>
      <c r="L82" s="17" t="s">
        <v>15</v>
      </c>
      <c r="M82" s="18">
        <v>61</v>
      </c>
      <c r="N82" s="17"/>
      <c r="O82" s="114"/>
      <c r="Q82" s="29">
        <v>82</v>
      </c>
      <c r="R82" s="30" t="s">
        <v>50</v>
      </c>
      <c r="S82" s="29" t="s">
        <v>30</v>
      </c>
      <c r="T82" s="29" t="s">
        <v>36</v>
      </c>
      <c r="U82" s="29">
        <v>21</v>
      </c>
      <c r="V82" s="126"/>
      <c r="W82" s="27"/>
    </row>
    <row r="83" spans="1:23" x14ac:dyDescent="0.25">
      <c r="A83" s="29">
        <v>36</v>
      </c>
      <c r="B83" s="30" t="s">
        <v>52</v>
      </c>
      <c r="C83" s="29" t="s">
        <v>8</v>
      </c>
      <c r="D83" s="29" t="s">
        <v>16</v>
      </c>
      <c r="E83" s="29">
        <v>118</v>
      </c>
      <c r="F83" s="27">
        <f>SUM(E76:E83)</f>
        <v>2843</v>
      </c>
      <c r="G83" s="114"/>
      <c r="I83" s="15">
        <v>2</v>
      </c>
      <c r="J83" s="16" t="s">
        <v>53</v>
      </c>
      <c r="K83" s="17" t="s">
        <v>8</v>
      </c>
      <c r="L83" s="17" t="s">
        <v>16</v>
      </c>
      <c r="M83" s="18">
        <v>44</v>
      </c>
      <c r="N83" s="18">
        <v>3791</v>
      </c>
      <c r="O83" s="114"/>
      <c r="Q83" s="29">
        <v>82</v>
      </c>
      <c r="R83" s="30" t="s">
        <v>50</v>
      </c>
      <c r="S83" s="29" t="s">
        <v>30</v>
      </c>
      <c r="T83" s="29" t="s">
        <v>37</v>
      </c>
      <c r="U83" s="29">
        <v>20</v>
      </c>
      <c r="V83" s="127"/>
      <c r="W83" s="27"/>
    </row>
    <row r="84" spans="1:23" x14ac:dyDescent="0.25">
      <c r="A84" s="10">
        <v>2</v>
      </c>
      <c r="B84" s="9" t="s">
        <v>53</v>
      </c>
      <c r="C84" s="10" t="s">
        <v>8</v>
      </c>
      <c r="D84" s="10" t="s">
        <v>9</v>
      </c>
      <c r="E84" s="10">
        <v>1490</v>
      </c>
      <c r="F84" s="28"/>
      <c r="G84" s="117">
        <v>4555</v>
      </c>
      <c r="I84" s="19">
        <v>36</v>
      </c>
      <c r="J84" s="20" t="s">
        <v>52</v>
      </c>
      <c r="K84" s="21" t="s">
        <v>8</v>
      </c>
      <c r="L84" s="21" t="s">
        <v>9</v>
      </c>
      <c r="M84" s="22">
        <v>987</v>
      </c>
      <c r="N84" s="21"/>
      <c r="O84" s="115">
        <v>4249</v>
      </c>
      <c r="Q84" s="100">
        <v>48</v>
      </c>
      <c r="R84" s="101" t="s">
        <v>51</v>
      </c>
      <c r="S84" s="100" t="s">
        <v>30</v>
      </c>
      <c r="T84" s="100" t="s">
        <v>9</v>
      </c>
      <c r="U84" s="100">
        <v>2268</v>
      </c>
      <c r="V84" s="122">
        <f>SUM(U84:U93)</f>
        <v>4524</v>
      </c>
      <c r="W84" s="26"/>
    </row>
    <row r="85" spans="1:23" x14ac:dyDescent="0.25">
      <c r="A85" s="10">
        <v>2</v>
      </c>
      <c r="B85" s="9" t="s">
        <v>53</v>
      </c>
      <c r="C85" s="10" t="s">
        <v>8</v>
      </c>
      <c r="D85" s="10" t="s">
        <v>10</v>
      </c>
      <c r="E85" s="10">
        <v>35</v>
      </c>
      <c r="F85" s="28"/>
      <c r="G85" s="118"/>
      <c r="I85" s="19">
        <v>36</v>
      </c>
      <c r="J85" s="20" t="s">
        <v>52</v>
      </c>
      <c r="K85" s="21" t="s">
        <v>8</v>
      </c>
      <c r="L85" s="21" t="s">
        <v>10</v>
      </c>
      <c r="M85" s="22">
        <v>46</v>
      </c>
      <c r="N85" s="21"/>
      <c r="O85" s="116"/>
      <c r="Q85" s="100">
        <v>48</v>
      </c>
      <c r="R85" s="101" t="s">
        <v>51</v>
      </c>
      <c r="S85" s="100" t="s">
        <v>30</v>
      </c>
      <c r="T85" s="100" t="s">
        <v>31</v>
      </c>
      <c r="U85" s="100">
        <v>954</v>
      </c>
      <c r="V85" s="123"/>
      <c r="W85" s="26"/>
    </row>
    <row r="86" spans="1:23" x14ac:dyDescent="0.25">
      <c r="A86" s="10">
        <v>2</v>
      </c>
      <c r="B86" s="9" t="s">
        <v>53</v>
      </c>
      <c r="C86" s="10" t="s">
        <v>8</v>
      </c>
      <c r="D86" s="10" t="s">
        <v>11</v>
      </c>
      <c r="E86" s="10">
        <v>24</v>
      </c>
      <c r="F86" s="28"/>
      <c r="G86" s="118"/>
      <c r="I86" s="19">
        <v>36</v>
      </c>
      <c r="J86" s="20" t="s">
        <v>52</v>
      </c>
      <c r="K86" s="21" t="s">
        <v>8</v>
      </c>
      <c r="L86" s="21" t="s">
        <v>11</v>
      </c>
      <c r="M86" s="22">
        <v>32</v>
      </c>
      <c r="N86" s="21"/>
      <c r="O86" s="116"/>
      <c r="Q86" s="100">
        <v>48</v>
      </c>
      <c r="R86" s="101" t="s">
        <v>51</v>
      </c>
      <c r="S86" s="100" t="s">
        <v>30</v>
      </c>
      <c r="T86" s="100" t="s">
        <v>16</v>
      </c>
      <c r="U86" s="100">
        <v>829</v>
      </c>
      <c r="V86" s="123"/>
      <c r="W86" s="26"/>
    </row>
    <row r="87" spans="1:23" x14ac:dyDescent="0.25">
      <c r="A87" s="10">
        <v>2</v>
      </c>
      <c r="B87" s="9" t="s">
        <v>53</v>
      </c>
      <c r="C87" s="10" t="s">
        <v>8</v>
      </c>
      <c r="D87" s="10" t="s">
        <v>12</v>
      </c>
      <c r="E87" s="10">
        <v>48</v>
      </c>
      <c r="F87" s="28"/>
      <c r="G87" s="118"/>
      <c r="I87" s="19">
        <v>36</v>
      </c>
      <c r="J87" s="20" t="s">
        <v>52</v>
      </c>
      <c r="K87" s="21" t="s">
        <v>8</v>
      </c>
      <c r="L87" s="21" t="s">
        <v>12</v>
      </c>
      <c r="M87" s="22">
        <v>59</v>
      </c>
      <c r="N87" s="21"/>
      <c r="O87" s="116"/>
      <c r="Q87" s="100">
        <v>48</v>
      </c>
      <c r="R87" s="101" t="s">
        <v>51</v>
      </c>
      <c r="S87" s="100" t="s">
        <v>30</v>
      </c>
      <c r="T87" s="100" t="s">
        <v>32</v>
      </c>
      <c r="U87" s="100">
        <v>157</v>
      </c>
      <c r="V87" s="123"/>
      <c r="W87" s="26"/>
    </row>
    <row r="88" spans="1:23" x14ac:dyDescent="0.25">
      <c r="A88" s="10">
        <v>2</v>
      </c>
      <c r="B88" s="9" t="s">
        <v>53</v>
      </c>
      <c r="C88" s="10" t="s">
        <v>8</v>
      </c>
      <c r="D88" s="10" t="s">
        <v>13</v>
      </c>
      <c r="E88" s="10">
        <v>51</v>
      </c>
      <c r="F88" s="28"/>
      <c r="G88" s="118"/>
      <c r="I88" s="19">
        <v>36</v>
      </c>
      <c r="J88" s="20" t="s">
        <v>52</v>
      </c>
      <c r="K88" s="21" t="s">
        <v>8</v>
      </c>
      <c r="L88" s="21" t="s">
        <v>13</v>
      </c>
      <c r="M88" s="22">
        <v>54</v>
      </c>
      <c r="N88" s="21"/>
      <c r="O88" s="116"/>
      <c r="Q88" s="100">
        <v>48</v>
      </c>
      <c r="R88" s="101" t="s">
        <v>51</v>
      </c>
      <c r="S88" s="100" t="s">
        <v>30</v>
      </c>
      <c r="T88" s="100" t="s">
        <v>33</v>
      </c>
      <c r="U88" s="100">
        <v>127</v>
      </c>
      <c r="V88" s="123"/>
      <c r="W88" s="26"/>
    </row>
    <row r="89" spans="1:23" x14ac:dyDescent="0.25">
      <c r="A89" s="10">
        <v>2</v>
      </c>
      <c r="B89" s="9" t="s">
        <v>53</v>
      </c>
      <c r="C89" s="10" t="s">
        <v>8</v>
      </c>
      <c r="D89" s="10" t="s">
        <v>14</v>
      </c>
      <c r="E89" s="10">
        <v>1846</v>
      </c>
      <c r="F89" s="28"/>
      <c r="G89" s="118"/>
      <c r="I89" s="19">
        <v>36</v>
      </c>
      <c r="J89" s="20" t="s">
        <v>52</v>
      </c>
      <c r="K89" s="21" t="s">
        <v>8</v>
      </c>
      <c r="L89" s="21" t="s">
        <v>39</v>
      </c>
      <c r="M89" s="22">
        <v>1730</v>
      </c>
      <c r="N89" s="21"/>
      <c r="O89" s="116"/>
      <c r="Q89" s="100">
        <v>48</v>
      </c>
      <c r="R89" s="101" t="s">
        <v>51</v>
      </c>
      <c r="S89" s="100" t="s">
        <v>30</v>
      </c>
      <c r="T89" s="100" t="s">
        <v>34</v>
      </c>
      <c r="U89" s="100">
        <v>93</v>
      </c>
      <c r="V89" s="123"/>
      <c r="W89" s="26"/>
    </row>
    <row r="90" spans="1:23" x14ac:dyDescent="0.25">
      <c r="A90" s="10">
        <v>2</v>
      </c>
      <c r="B90" s="9" t="s">
        <v>53</v>
      </c>
      <c r="C90" s="10" t="s">
        <v>8</v>
      </c>
      <c r="D90" s="10" t="s">
        <v>15</v>
      </c>
      <c r="E90" s="10">
        <v>132</v>
      </c>
      <c r="F90" s="28"/>
      <c r="G90" s="118"/>
      <c r="I90" s="19">
        <v>36</v>
      </c>
      <c r="J90" s="20" t="s">
        <v>52</v>
      </c>
      <c r="K90" s="21" t="s">
        <v>8</v>
      </c>
      <c r="L90" s="21" t="s">
        <v>15</v>
      </c>
      <c r="M90" s="22">
        <v>44</v>
      </c>
      <c r="N90" s="21"/>
      <c r="O90" s="116"/>
      <c r="Q90" s="100">
        <v>48</v>
      </c>
      <c r="R90" s="101" t="s">
        <v>51</v>
      </c>
      <c r="S90" s="100" t="s">
        <v>30</v>
      </c>
      <c r="T90" s="100" t="s">
        <v>15</v>
      </c>
      <c r="U90" s="100">
        <v>42</v>
      </c>
      <c r="V90" s="123"/>
      <c r="W90" s="26"/>
    </row>
    <row r="91" spans="1:23" x14ac:dyDescent="0.25">
      <c r="A91" s="10">
        <v>2</v>
      </c>
      <c r="B91" s="9" t="s">
        <v>53</v>
      </c>
      <c r="C91" s="10" t="s">
        <v>8</v>
      </c>
      <c r="D91" s="10" t="s">
        <v>16</v>
      </c>
      <c r="E91" s="10">
        <v>40</v>
      </c>
      <c r="F91" s="28">
        <f>SUM(E84:E91)</f>
        <v>3666</v>
      </c>
      <c r="G91" s="118"/>
      <c r="I91" s="19">
        <v>36</v>
      </c>
      <c r="J91" s="20" t="s">
        <v>52</v>
      </c>
      <c r="K91" s="21" t="s">
        <v>8</v>
      </c>
      <c r="L91" s="21" t="s">
        <v>16</v>
      </c>
      <c r="M91" s="22">
        <v>57</v>
      </c>
      <c r="N91" s="22">
        <v>3009</v>
      </c>
      <c r="O91" s="116"/>
      <c r="Q91" s="100">
        <v>48</v>
      </c>
      <c r="R91" s="101" t="s">
        <v>51</v>
      </c>
      <c r="S91" s="100" t="s">
        <v>30</v>
      </c>
      <c r="T91" s="100" t="s">
        <v>35</v>
      </c>
      <c r="U91" s="100">
        <v>27</v>
      </c>
      <c r="V91" s="123"/>
      <c r="W91" s="26"/>
    </row>
    <row r="92" spans="1:23" x14ac:dyDescent="0.25">
      <c r="A92" s="29">
        <v>81</v>
      </c>
      <c r="B92" s="30" t="s">
        <v>54</v>
      </c>
      <c r="C92" s="29" t="s">
        <v>8</v>
      </c>
      <c r="D92" s="29" t="s">
        <v>9</v>
      </c>
      <c r="E92" s="29">
        <v>1420</v>
      </c>
      <c r="F92" s="27"/>
      <c r="G92" s="133">
        <v>4220</v>
      </c>
      <c r="I92" s="85">
        <v>81</v>
      </c>
      <c r="J92" s="86" t="s">
        <v>54</v>
      </c>
      <c r="K92" s="87" t="s">
        <v>8</v>
      </c>
      <c r="L92" s="87" t="s">
        <v>9</v>
      </c>
      <c r="M92" s="88">
        <v>1528</v>
      </c>
      <c r="N92" s="87"/>
      <c r="O92" s="134">
        <v>4220</v>
      </c>
      <c r="Q92" s="100">
        <v>48</v>
      </c>
      <c r="R92" s="101" t="s">
        <v>51</v>
      </c>
      <c r="S92" s="100" t="s">
        <v>30</v>
      </c>
      <c r="T92" s="100" t="s">
        <v>36</v>
      </c>
      <c r="U92" s="100">
        <v>14</v>
      </c>
      <c r="V92" s="123"/>
      <c r="W92" s="26"/>
    </row>
    <row r="93" spans="1:23" x14ac:dyDescent="0.25">
      <c r="A93" s="29">
        <v>81</v>
      </c>
      <c r="B93" s="30" t="s">
        <v>54</v>
      </c>
      <c r="C93" s="29" t="s">
        <v>8</v>
      </c>
      <c r="D93" s="29" t="s">
        <v>10</v>
      </c>
      <c r="E93" s="29">
        <v>23</v>
      </c>
      <c r="F93" s="27"/>
      <c r="G93" s="114"/>
      <c r="I93" s="85">
        <v>81</v>
      </c>
      <c r="J93" s="86" t="s">
        <v>54</v>
      </c>
      <c r="K93" s="87" t="s">
        <v>8</v>
      </c>
      <c r="L93" s="87" t="s">
        <v>10</v>
      </c>
      <c r="M93" s="88">
        <v>27</v>
      </c>
      <c r="N93" s="87"/>
      <c r="O93" s="114"/>
      <c r="Q93" s="100">
        <v>48</v>
      </c>
      <c r="R93" s="101" t="s">
        <v>51</v>
      </c>
      <c r="S93" s="100" t="s">
        <v>30</v>
      </c>
      <c r="T93" s="100" t="s">
        <v>37</v>
      </c>
      <c r="U93" s="100">
        <v>13</v>
      </c>
      <c r="V93" s="124"/>
      <c r="W93" s="26"/>
    </row>
    <row r="94" spans="1:23" x14ac:dyDescent="0.25">
      <c r="A94" s="29">
        <v>81</v>
      </c>
      <c r="B94" s="30" t="s">
        <v>54</v>
      </c>
      <c r="C94" s="29" t="s">
        <v>8</v>
      </c>
      <c r="D94" s="29" t="s">
        <v>11</v>
      </c>
      <c r="E94" s="29">
        <v>18</v>
      </c>
      <c r="F94" s="27"/>
      <c r="G94" s="114"/>
      <c r="I94" s="85">
        <v>81</v>
      </c>
      <c r="J94" s="86" t="s">
        <v>54</v>
      </c>
      <c r="K94" s="87" t="s">
        <v>8</v>
      </c>
      <c r="L94" s="87" t="s">
        <v>11</v>
      </c>
      <c r="M94" s="88">
        <v>21</v>
      </c>
      <c r="N94" s="87"/>
      <c r="O94" s="114"/>
      <c r="Q94" s="29">
        <v>36</v>
      </c>
      <c r="R94" s="30" t="s">
        <v>52</v>
      </c>
      <c r="S94" s="29" t="s">
        <v>30</v>
      </c>
      <c r="T94" s="29" t="s">
        <v>31</v>
      </c>
      <c r="U94" s="29">
        <v>1490</v>
      </c>
      <c r="V94" s="125">
        <f>SUM(U94:U103)</f>
        <v>2909</v>
      </c>
      <c r="W94" s="27"/>
    </row>
    <row r="95" spans="1:23" x14ac:dyDescent="0.25">
      <c r="A95" s="29">
        <v>81</v>
      </c>
      <c r="B95" s="30" t="s">
        <v>54</v>
      </c>
      <c r="C95" s="29" t="s">
        <v>8</v>
      </c>
      <c r="D95" s="29" t="s">
        <v>12</v>
      </c>
      <c r="E95" s="29">
        <v>79</v>
      </c>
      <c r="F95" s="27"/>
      <c r="G95" s="114"/>
      <c r="I95" s="85">
        <v>81</v>
      </c>
      <c r="J95" s="86" t="s">
        <v>54</v>
      </c>
      <c r="K95" s="87" t="s">
        <v>8</v>
      </c>
      <c r="L95" s="87" t="s">
        <v>12</v>
      </c>
      <c r="M95" s="88">
        <v>44</v>
      </c>
      <c r="N95" s="87"/>
      <c r="O95" s="114"/>
      <c r="Q95" s="29">
        <v>36</v>
      </c>
      <c r="R95" s="30" t="s">
        <v>52</v>
      </c>
      <c r="S95" s="29" t="s">
        <v>30</v>
      </c>
      <c r="T95" s="29" t="s">
        <v>9</v>
      </c>
      <c r="U95" s="29">
        <v>966</v>
      </c>
      <c r="V95" s="126"/>
      <c r="W95" s="27"/>
    </row>
    <row r="96" spans="1:23" x14ac:dyDescent="0.25">
      <c r="A96" s="29">
        <v>81</v>
      </c>
      <c r="B96" s="30" t="s">
        <v>54</v>
      </c>
      <c r="C96" s="29" t="s">
        <v>8</v>
      </c>
      <c r="D96" s="29" t="s">
        <v>13</v>
      </c>
      <c r="E96" s="29">
        <v>38</v>
      </c>
      <c r="F96" s="27"/>
      <c r="G96" s="114"/>
      <c r="I96" s="85">
        <v>81</v>
      </c>
      <c r="J96" s="86" t="s">
        <v>54</v>
      </c>
      <c r="K96" s="87" t="s">
        <v>8</v>
      </c>
      <c r="L96" s="87" t="s">
        <v>13</v>
      </c>
      <c r="M96" s="88">
        <v>40</v>
      </c>
      <c r="N96" s="87"/>
      <c r="O96" s="114"/>
      <c r="Q96" s="29">
        <v>36</v>
      </c>
      <c r="R96" s="30" t="s">
        <v>52</v>
      </c>
      <c r="S96" s="29" t="s">
        <v>30</v>
      </c>
      <c r="T96" s="29" t="s">
        <v>32</v>
      </c>
      <c r="U96" s="29">
        <v>221</v>
      </c>
      <c r="V96" s="126"/>
      <c r="W96" s="27"/>
    </row>
    <row r="97" spans="1:23" x14ac:dyDescent="0.25">
      <c r="A97" s="29">
        <v>81</v>
      </c>
      <c r="B97" s="30" t="s">
        <v>54</v>
      </c>
      <c r="C97" s="29" t="s">
        <v>8</v>
      </c>
      <c r="D97" s="29" t="s">
        <v>14</v>
      </c>
      <c r="E97" s="29">
        <v>1448</v>
      </c>
      <c r="F97" s="27"/>
      <c r="G97" s="114"/>
      <c r="I97" s="85">
        <v>81</v>
      </c>
      <c r="J97" s="86" t="s">
        <v>54</v>
      </c>
      <c r="K97" s="87" t="s">
        <v>8</v>
      </c>
      <c r="L97" s="87" t="s">
        <v>39</v>
      </c>
      <c r="M97" s="88">
        <v>1599</v>
      </c>
      <c r="N97" s="87"/>
      <c r="O97" s="114"/>
      <c r="Q97" s="29">
        <v>36</v>
      </c>
      <c r="R97" s="30" t="s">
        <v>52</v>
      </c>
      <c r="S97" s="29" t="s">
        <v>30</v>
      </c>
      <c r="T97" s="29" t="s">
        <v>16</v>
      </c>
      <c r="U97" s="29">
        <v>92</v>
      </c>
      <c r="V97" s="126"/>
      <c r="W97" s="27"/>
    </row>
    <row r="98" spans="1:23" x14ac:dyDescent="0.25">
      <c r="A98" s="29">
        <v>81</v>
      </c>
      <c r="B98" s="30" t="s">
        <v>54</v>
      </c>
      <c r="C98" s="29" t="s">
        <v>8</v>
      </c>
      <c r="D98" s="29" t="s">
        <v>15</v>
      </c>
      <c r="E98" s="29">
        <v>133</v>
      </c>
      <c r="F98" s="27"/>
      <c r="G98" s="114"/>
      <c r="I98" s="85">
        <v>81</v>
      </c>
      <c r="J98" s="86" t="s">
        <v>54</v>
      </c>
      <c r="K98" s="87" t="s">
        <v>8</v>
      </c>
      <c r="L98" s="87" t="s">
        <v>15</v>
      </c>
      <c r="M98" s="88">
        <v>53</v>
      </c>
      <c r="N98" s="87"/>
      <c r="O98" s="114"/>
      <c r="Q98" s="29">
        <v>36</v>
      </c>
      <c r="R98" s="30" t="s">
        <v>52</v>
      </c>
      <c r="S98" s="29" t="s">
        <v>30</v>
      </c>
      <c r="T98" s="29" t="s">
        <v>33</v>
      </c>
      <c r="U98" s="29">
        <v>68</v>
      </c>
      <c r="V98" s="126"/>
      <c r="W98" s="27"/>
    </row>
    <row r="99" spans="1:23" x14ac:dyDescent="0.25">
      <c r="A99" s="29">
        <v>81</v>
      </c>
      <c r="B99" s="30" t="s">
        <v>54</v>
      </c>
      <c r="C99" s="29" t="s">
        <v>8</v>
      </c>
      <c r="D99" s="29" t="s">
        <v>16</v>
      </c>
      <c r="E99" s="29">
        <v>50</v>
      </c>
      <c r="F99" s="27">
        <f>SUM(E92:E99)</f>
        <v>3209</v>
      </c>
      <c r="G99" s="114"/>
      <c r="I99" s="85">
        <v>81</v>
      </c>
      <c r="J99" s="86" t="s">
        <v>54</v>
      </c>
      <c r="K99" s="87" t="s">
        <v>8</v>
      </c>
      <c r="L99" s="87" t="s">
        <v>16</v>
      </c>
      <c r="M99" s="88">
        <v>25</v>
      </c>
      <c r="N99" s="88">
        <v>3337</v>
      </c>
      <c r="O99" s="114"/>
      <c r="Q99" s="29">
        <v>36</v>
      </c>
      <c r="R99" s="30" t="s">
        <v>52</v>
      </c>
      <c r="S99" s="29" t="s">
        <v>30</v>
      </c>
      <c r="T99" s="29" t="s">
        <v>15</v>
      </c>
      <c r="U99" s="29">
        <v>26</v>
      </c>
      <c r="V99" s="126"/>
      <c r="W99" s="27"/>
    </row>
    <row r="100" spans="1:23" x14ac:dyDescent="0.25">
      <c r="A100" s="10">
        <v>13</v>
      </c>
      <c r="B100" s="9" t="s">
        <v>55</v>
      </c>
      <c r="C100" s="10" t="s">
        <v>8</v>
      </c>
      <c r="D100" s="10" t="s">
        <v>9</v>
      </c>
      <c r="E100" s="10">
        <v>1374</v>
      </c>
      <c r="F100" s="28"/>
      <c r="G100" s="117">
        <v>3818</v>
      </c>
      <c r="I100" s="89">
        <v>13</v>
      </c>
      <c r="J100" s="90" t="s">
        <v>55</v>
      </c>
      <c r="K100" s="91" t="s">
        <v>8</v>
      </c>
      <c r="L100" s="91" t="s">
        <v>9</v>
      </c>
      <c r="M100" s="92">
        <v>1514</v>
      </c>
      <c r="N100" s="91"/>
      <c r="O100" s="135">
        <v>3818</v>
      </c>
      <c r="Q100" s="29">
        <v>36</v>
      </c>
      <c r="R100" s="30" t="s">
        <v>52</v>
      </c>
      <c r="S100" s="29" t="s">
        <v>30</v>
      </c>
      <c r="T100" s="29" t="s">
        <v>34</v>
      </c>
      <c r="U100" s="29">
        <v>18</v>
      </c>
      <c r="V100" s="126"/>
      <c r="W100" s="27"/>
    </row>
    <row r="101" spans="1:23" x14ac:dyDescent="0.25">
      <c r="A101" s="10">
        <v>13</v>
      </c>
      <c r="B101" s="9" t="s">
        <v>55</v>
      </c>
      <c r="C101" s="10" t="s">
        <v>8</v>
      </c>
      <c r="D101" s="10" t="s">
        <v>10</v>
      </c>
      <c r="E101" s="10">
        <v>18</v>
      </c>
      <c r="F101" s="28"/>
      <c r="G101" s="118"/>
      <c r="I101" s="89">
        <v>13</v>
      </c>
      <c r="J101" s="90" t="s">
        <v>55</v>
      </c>
      <c r="K101" s="91" t="s">
        <v>8</v>
      </c>
      <c r="L101" s="91" t="s">
        <v>10</v>
      </c>
      <c r="M101" s="92">
        <v>28</v>
      </c>
      <c r="N101" s="91"/>
      <c r="O101" s="116"/>
      <c r="Q101" s="29">
        <v>36</v>
      </c>
      <c r="R101" s="30" t="s">
        <v>52</v>
      </c>
      <c r="S101" s="29" t="s">
        <v>30</v>
      </c>
      <c r="T101" s="29" t="s">
        <v>35</v>
      </c>
      <c r="U101" s="29">
        <v>13</v>
      </c>
      <c r="V101" s="126"/>
      <c r="W101" s="27"/>
    </row>
    <row r="102" spans="1:23" x14ac:dyDescent="0.25">
      <c r="A102" s="10">
        <v>13</v>
      </c>
      <c r="B102" s="9" t="s">
        <v>55</v>
      </c>
      <c r="C102" s="10" t="s">
        <v>8</v>
      </c>
      <c r="D102" s="10" t="s">
        <v>11</v>
      </c>
      <c r="E102" s="10">
        <v>14</v>
      </c>
      <c r="F102" s="28"/>
      <c r="G102" s="118"/>
      <c r="I102" s="89">
        <v>13</v>
      </c>
      <c r="J102" s="90" t="s">
        <v>55</v>
      </c>
      <c r="K102" s="91" t="s">
        <v>8</v>
      </c>
      <c r="L102" s="91" t="s">
        <v>11</v>
      </c>
      <c r="M102" s="92">
        <v>19</v>
      </c>
      <c r="N102" s="91"/>
      <c r="O102" s="116"/>
      <c r="Q102" s="29">
        <v>36</v>
      </c>
      <c r="R102" s="30" t="s">
        <v>52</v>
      </c>
      <c r="S102" s="29" t="s">
        <v>30</v>
      </c>
      <c r="T102" s="29" t="s">
        <v>37</v>
      </c>
      <c r="U102" s="29">
        <v>8</v>
      </c>
      <c r="V102" s="126"/>
      <c r="W102" s="27"/>
    </row>
    <row r="103" spans="1:23" x14ac:dyDescent="0.25">
      <c r="A103" s="10">
        <v>13</v>
      </c>
      <c r="B103" s="9" t="s">
        <v>55</v>
      </c>
      <c r="C103" s="10" t="s">
        <v>8</v>
      </c>
      <c r="D103" s="10" t="s">
        <v>12</v>
      </c>
      <c r="E103" s="10">
        <v>32</v>
      </c>
      <c r="F103" s="28"/>
      <c r="G103" s="118"/>
      <c r="I103" s="89">
        <v>13</v>
      </c>
      <c r="J103" s="90" t="s">
        <v>55</v>
      </c>
      <c r="K103" s="91" t="s">
        <v>8</v>
      </c>
      <c r="L103" s="91" t="s">
        <v>12</v>
      </c>
      <c r="M103" s="92">
        <v>29</v>
      </c>
      <c r="N103" s="91"/>
      <c r="O103" s="116"/>
      <c r="Q103" s="29">
        <v>36</v>
      </c>
      <c r="R103" s="30" t="s">
        <v>52</v>
      </c>
      <c r="S103" s="29" t="s">
        <v>30</v>
      </c>
      <c r="T103" s="29" t="s">
        <v>36</v>
      </c>
      <c r="U103" s="29">
        <v>7</v>
      </c>
      <c r="V103" s="127"/>
      <c r="W103" s="27"/>
    </row>
    <row r="104" spans="1:23" x14ac:dyDescent="0.25">
      <c r="A104" s="10">
        <v>13</v>
      </c>
      <c r="B104" s="9" t="s">
        <v>55</v>
      </c>
      <c r="C104" s="10" t="s">
        <v>8</v>
      </c>
      <c r="D104" s="10" t="s">
        <v>13</v>
      </c>
      <c r="E104" s="10">
        <v>36</v>
      </c>
      <c r="F104" s="28"/>
      <c r="G104" s="118"/>
      <c r="I104" s="89">
        <v>13</v>
      </c>
      <c r="J104" s="90" t="s">
        <v>55</v>
      </c>
      <c r="K104" s="91" t="s">
        <v>8</v>
      </c>
      <c r="L104" s="91" t="s">
        <v>13</v>
      </c>
      <c r="M104" s="92">
        <v>31</v>
      </c>
      <c r="N104" s="91"/>
      <c r="O104" s="116"/>
      <c r="Q104" s="100">
        <v>2</v>
      </c>
      <c r="R104" s="101" t="s">
        <v>53</v>
      </c>
      <c r="S104" s="100" t="s">
        <v>30</v>
      </c>
      <c r="T104" s="100" t="s">
        <v>9</v>
      </c>
      <c r="U104" s="100">
        <v>2157</v>
      </c>
      <c r="V104" s="122">
        <f>SUM(U104:U113)</f>
        <v>3886</v>
      </c>
      <c r="W104" s="26"/>
    </row>
    <row r="105" spans="1:23" x14ac:dyDescent="0.25">
      <c r="A105" s="10">
        <v>13</v>
      </c>
      <c r="B105" s="9" t="s">
        <v>55</v>
      </c>
      <c r="C105" s="10" t="s">
        <v>8</v>
      </c>
      <c r="D105" s="10" t="s">
        <v>14</v>
      </c>
      <c r="E105" s="10">
        <v>1331</v>
      </c>
      <c r="F105" s="28"/>
      <c r="G105" s="118"/>
      <c r="I105" s="89">
        <v>13</v>
      </c>
      <c r="J105" s="90" t="s">
        <v>55</v>
      </c>
      <c r="K105" s="91" t="s">
        <v>8</v>
      </c>
      <c r="L105" s="91" t="s">
        <v>39</v>
      </c>
      <c r="M105" s="92">
        <v>1384</v>
      </c>
      <c r="N105" s="91"/>
      <c r="O105" s="116"/>
      <c r="Q105" s="100">
        <v>2</v>
      </c>
      <c r="R105" s="101" t="s">
        <v>53</v>
      </c>
      <c r="S105" s="100" t="s">
        <v>30</v>
      </c>
      <c r="T105" s="100" t="s">
        <v>31</v>
      </c>
      <c r="U105" s="100">
        <v>1277</v>
      </c>
      <c r="V105" s="123"/>
      <c r="W105" s="26"/>
    </row>
    <row r="106" spans="1:23" x14ac:dyDescent="0.25">
      <c r="A106" s="10">
        <v>13</v>
      </c>
      <c r="B106" s="9" t="s">
        <v>55</v>
      </c>
      <c r="C106" s="10" t="s">
        <v>8</v>
      </c>
      <c r="D106" s="10" t="s">
        <v>15</v>
      </c>
      <c r="E106" s="10">
        <v>72</v>
      </c>
      <c r="F106" s="28"/>
      <c r="G106" s="118"/>
      <c r="I106" s="89">
        <v>13</v>
      </c>
      <c r="J106" s="90" t="s">
        <v>55</v>
      </c>
      <c r="K106" s="91" t="s">
        <v>8</v>
      </c>
      <c r="L106" s="91" t="s">
        <v>15</v>
      </c>
      <c r="M106" s="92">
        <v>58</v>
      </c>
      <c r="N106" s="91"/>
      <c r="O106" s="116"/>
      <c r="Q106" s="100">
        <v>2</v>
      </c>
      <c r="R106" s="101" t="s">
        <v>53</v>
      </c>
      <c r="S106" s="100" t="s">
        <v>30</v>
      </c>
      <c r="T106" s="100" t="s">
        <v>32</v>
      </c>
      <c r="U106" s="100">
        <v>224</v>
      </c>
      <c r="V106" s="123"/>
      <c r="W106" s="26"/>
    </row>
    <row r="107" spans="1:23" x14ac:dyDescent="0.25">
      <c r="A107" s="10">
        <v>13</v>
      </c>
      <c r="B107" s="9" t="s">
        <v>55</v>
      </c>
      <c r="C107" s="10" t="s">
        <v>8</v>
      </c>
      <c r="D107" s="10" t="s">
        <v>16</v>
      </c>
      <c r="E107" s="10">
        <v>54</v>
      </c>
      <c r="F107" s="28">
        <f>SUM(E100:E107)</f>
        <v>2931</v>
      </c>
      <c r="G107" s="118"/>
      <c r="I107" s="89">
        <v>13</v>
      </c>
      <c r="J107" s="90" t="s">
        <v>55</v>
      </c>
      <c r="K107" s="91" t="s">
        <v>8</v>
      </c>
      <c r="L107" s="91" t="s">
        <v>16</v>
      </c>
      <c r="M107" s="92">
        <v>23</v>
      </c>
      <c r="N107" s="92">
        <v>3086</v>
      </c>
      <c r="O107" s="116"/>
      <c r="Q107" s="100">
        <v>2</v>
      </c>
      <c r="R107" s="101" t="s">
        <v>53</v>
      </c>
      <c r="S107" s="100" t="s">
        <v>30</v>
      </c>
      <c r="T107" s="100" t="s">
        <v>16</v>
      </c>
      <c r="U107" s="100">
        <v>94</v>
      </c>
      <c r="V107" s="123"/>
      <c r="W107" s="26"/>
    </row>
    <row r="108" spans="1:23" x14ac:dyDescent="0.25">
      <c r="A108" s="29">
        <v>65</v>
      </c>
      <c r="B108" s="30" t="s">
        <v>56</v>
      </c>
      <c r="C108" s="29" t="s">
        <v>8</v>
      </c>
      <c r="D108" s="29" t="s">
        <v>9</v>
      </c>
      <c r="E108" s="29">
        <v>899</v>
      </c>
      <c r="F108" s="27"/>
      <c r="G108" s="133">
        <v>3453</v>
      </c>
      <c r="I108" s="85">
        <v>65</v>
      </c>
      <c r="J108" s="86" t="s">
        <v>56</v>
      </c>
      <c r="K108" s="87" t="s">
        <v>8</v>
      </c>
      <c r="L108" s="87" t="s">
        <v>9</v>
      </c>
      <c r="M108" s="88">
        <v>1036</v>
      </c>
      <c r="N108" s="87"/>
      <c r="O108" s="134">
        <v>3453</v>
      </c>
      <c r="Q108" s="100">
        <v>2</v>
      </c>
      <c r="R108" s="101" t="s">
        <v>53</v>
      </c>
      <c r="S108" s="100" t="s">
        <v>30</v>
      </c>
      <c r="T108" s="100" t="s">
        <v>15</v>
      </c>
      <c r="U108" s="100">
        <v>64</v>
      </c>
      <c r="V108" s="123"/>
      <c r="W108" s="26"/>
    </row>
    <row r="109" spans="1:23" x14ac:dyDescent="0.25">
      <c r="A109" s="29">
        <v>65</v>
      </c>
      <c r="B109" s="30" t="s">
        <v>56</v>
      </c>
      <c r="C109" s="29" t="s">
        <v>8</v>
      </c>
      <c r="D109" s="29" t="s">
        <v>10</v>
      </c>
      <c r="E109" s="29">
        <v>36</v>
      </c>
      <c r="F109" s="27"/>
      <c r="G109" s="114"/>
      <c r="I109" s="85">
        <v>65</v>
      </c>
      <c r="J109" s="86" t="s">
        <v>56</v>
      </c>
      <c r="K109" s="87" t="s">
        <v>8</v>
      </c>
      <c r="L109" s="87" t="s">
        <v>10</v>
      </c>
      <c r="M109" s="88">
        <v>38</v>
      </c>
      <c r="N109" s="87"/>
      <c r="O109" s="114"/>
      <c r="Q109" s="100">
        <v>2</v>
      </c>
      <c r="R109" s="101" t="s">
        <v>53</v>
      </c>
      <c r="S109" s="100" t="s">
        <v>30</v>
      </c>
      <c r="T109" s="100" t="s">
        <v>33</v>
      </c>
      <c r="U109" s="100">
        <v>28</v>
      </c>
      <c r="V109" s="123"/>
      <c r="W109" s="26"/>
    </row>
    <row r="110" spans="1:23" x14ac:dyDescent="0.25">
      <c r="A110" s="29">
        <v>65</v>
      </c>
      <c r="B110" s="30" t="s">
        <v>56</v>
      </c>
      <c r="C110" s="29" t="s">
        <v>8</v>
      </c>
      <c r="D110" s="29" t="s">
        <v>11</v>
      </c>
      <c r="E110" s="29">
        <v>25</v>
      </c>
      <c r="F110" s="27"/>
      <c r="G110" s="114"/>
      <c r="I110" s="85">
        <v>65</v>
      </c>
      <c r="J110" s="86" t="s">
        <v>56</v>
      </c>
      <c r="K110" s="87" t="s">
        <v>8</v>
      </c>
      <c r="L110" s="87" t="s">
        <v>11</v>
      </c>
      <c r="M110" s="88">
        <v>28</v>
      </c>
      <c r="N110" s="87"/>
      <c r="O110" s="114"/>
      <c r="Q110" s="100">
        <v>2</v>
      </c>
      <c r="R110" s="101" t="s">
        <v>53</v>
      </c>
      <c r="S110" s="100" t="s">
        <v>30</v>
      </c>
      <c r="T110" s="100" t="s">
        <v>35</v>
      </c>
      <c r="U110" s="100">
        <v>18</v>
      </c>
      <c r="V110" s="123"/>
      <c r="W110" s="26"/>
    </row>
    <row r="111" spans="1:23" x14ac:dyDescent="0.25">
      <c r="A111" s="29">
        <v>65</v>
      </c>
      <c r="B111" s="30" t="s">
        <v>56</v>
      </c>
      <c r="C111" s="29" t="s">
        <v>8</v>
      </c>
      <c r="D111" s="29" t="s">
        <v>12</v>
      </c>
      <c r="E111" s="29">
        <v>63</v>
      </c>
      <c r="F111" s="27"/>
      <c r="G111" s="114"/>
      <c r="I111" s="85">
        <v>65</v>
      </c>
      <c r="J111" s="86" t="s">
        <v>56</v>
      </c>
      <c r="K111" s="87" t="s">
        <v>8</v>
      </c>
      <c r="L111" s="87" t="s">
        <v>12</v>
      </c>
      <c r="M111" s="88">
        <v>54</v>
      </c>
      <c r="N111" s="87"/>
      <c r="O111" s="114"/>
      <c r="Q111" s="100">
        <v>2</v>
      </c>
      <c r="R111" s="101" t="s">
        <v>53</v>
      </c>
      <c r="S111" s="100" t="s">
        <v>30</v>
      </c>
      <c r="T111" s="100" t="s">
        <v>36</v>
      </c>
      <c r="U111" s="100">
        <v>13</v>
      </c>
      <c r="V111" s="123"/>
      <c r="W111" s="26"/>
    </row>
    <row r="112" spans="1:23" x14ac:dyDescent="0.25">
      <c r="A112" s="29">
        <v>65</v>
      </c>
      <c r="B112" s="30" t="s">
        <v>56</v>
      </c>
      <c r="C112" s="29" t="s">
        <v>8</v>
      </c>
      <c r="D112" s="29" t="s">
        <v>13</v>
      </c>
      <c r="E112" s="29">
        <v>45</v>
      </c>
      <c r="F112" s="27"/>
      <c r="G112" s="114"/>
      <c r="I112" s="85">
        <v>65</v>
      </c>
      <c r="J112" s="86" t="s">
        <v>56</v>
      </c>
      <c r="K112" s="87" t="s">
        <v>8</v>
      </c>
      <c r="L112" s="87" t="s">
        <v>13</v>
      </c>
      <c r="M112" s="88">
        <v>32</v>
      </c>
      <c r="N112" s="87"/>
      <c r="O112" s="114"/>
      <c r="Q112" s="100">
        <v>2</v>
      </c>
      <c r="R112" s="101" t="s">
        <v>53</v>
      </c>
      <c r="S112" s="100" t="s">
        <v>30</v>
      </c>
      <c r="T112" s="100" t="s">
        <v>34</v>
      </c>
      <c r="U112" s="100">
        <v>8</v>
      </c>
      <c r="V112" s="123"/>
      <c r="W112" s="26"/>
    </row>
    <row r="113" spans="1:23" x14ac:dyDescent="0.25">
      <c r="A113" s="29">
        <v>65</v>
      </c>
      <c r="B113" s="30" t="s">
        <v>56</v>
      </c>
      <c r="C113" s="29" t="s">
        <v>8</v>
      </c>
      <c r="D113" s="29" t="s">
        <v>14</v>
      </c>
      <c r="E113" s="29">
        <v>1346</v>
      </c>
      <c r="F113" s="27"/>
      <c r="G113" s="114"/>
      <c r="I113" s="85">
        <v>65</v>
      </c>
      <c r="J113" s="86" t="s">
        <v>56</v>
      </c>
      <c r="K113" s="87" t="s">
        <v>8</v>
      </c>
      <c r="L113" s="87" t="s">
        <v>39</v>
      </c>
      <c r="M113" s="88">
        <v>1457</v>
      </c>
      <c r="N113" s="87"/>
      <c r="O113" s="114"/>
      <c r="Q113" s="100">
        <v>2</v>
      </c>
      <c r="R113" s="101" t="s">
        <v>53</v>
      </c>
      <c r="S113" s="100" t="s">
        <v>30</v>
      </c>
      <c r="T113" s="100" t="s">
        <v>37</v>
      </c>
      <c r="U113" s="100">
        <v>3</v>
      </c>
      <c r="V113" s="124"/>
      <c r="W113" s="26"/>
    </row>
    <row r="114" spans="1:23" x14ac:dyDescent="0.25">
      <c r="A114" s="29">
        <v>65</v>
      </c>
      <c r="B114" s="30" t="s">
        <v>56</v>
      </c>
      <c r="C114" s="29" t="s">
        <v>8</v>
      </c>
      <c r="D114" s="29" t="s">
        <v>15</v>
      </c>
      <c r="E114" s="29">
        <v>87</v>
      </c>
      <c r="F114" s="27"/>
      <c r="G114" s="114"/>
      <c r="I114" s="85">
        <v>65</v>
      </c>
      <c r="J114" s="86" t="s">
        <v>56</v>
      </c>
      <c r="K114" s="87" t="s">
        <v>8</v>
      </c>
      <c r="L114" s="87" t="s">
        <v>15</v>
      </c>
      <c r="M114" s="88">
        <v>41</v>
      </c>
      <c r="N114" s="87"/>
      <c r="O114" s="114"/>
      <c r="Q114" s="29">
        <v>81</v>
      </c>
      <c r="R114" s="30" t="s">
        <v>54</v>
      </c>
      <c r="S114" s="29" t="s">
        <v>30</v>
      </c>
      <c r="T114" s="29" t="s">
        <v>9</v>
      </c>
      <c r="U114" s="29">
        <v>1770</v>
      </c>
      <c r="V114" s="125">
        <f>SUM(U114:U123)</f>
        <v>3320</v>
      </c>
      <c r="W114" s="27"/>
    </row>
    <row r="115" spans="1:23" x14ac:dyDescent="0.25">
      <c r="A115" s="29">
        <v>65</v>
      </c>
      <c r="B115" s="30" t="s">
        <v>56</v>
      </c>
      <c r="C115" s="29" t="s">
        <v>8</v>
      </c>
      <c r="D115" s="29" t="s">
        <v>16</v>
      </c>
      <c r="E115" s="29">
        <v>27</v>
      </c>
      <c r="F115" s="27">
        <f>SUM(E108:E115)</f>
        <v>2528</v>
      </c>
      <c r="G115" s="114"/>
      <c r="I115" s="85">
        <v>65</v>
      </c>
      <c r="J115" s="86" t="s">
        <v>56</v>
      </c>
      <c r="K115" s="87" t="s">
        <v>8</v>
      </c>
      <c r="L115" s="87" t="s">
        <v>16</v>
      </c>
      <c r="M115" s="88">
        <v>15</v>
      </c>
      <c r="N115" s="88">
        <f>SUM(M108:M115)</f>
        <v>2701</v>
      </c>
      <c r="O115" s="114"/>
      <c r="P115" s="93">
        <v>5037</v>
      </c>
      <c r="Q115" s="29">
        <v>81</v>
      </c>
      <c r="R115" s="30" t="s">
        <v>54</v>
      </c>
      <c r="S115" s="29" t="s">
        <v>30</v>
      </c>
      <c r="T115" s="29" t="s">
        <v>31</v>
      </c>
      <c r="U115" s="29">
        <v>1140</v>
      </c>
      <c r="V115" s="126"/>
      <c r="W115" s="27"/>
    </row>
    <row r="116" spans="1:23" x14ac:dyDescent="0.25">
      <c r="Q116" s="29">
        <v>81</v>
      </c>
      <c r="R116" s="30" t="s">
        <v>54</v>
      </c>
      <c r="S116" s="29" t="s">
        <v>30</v>
      </c>
      <c r="T116" s="29" t="s">
        <v>32</v>
      </c>
      <c r="U116" s="29">
        <v>130</v>
      </c>
      <c r="V116" s="126"/>
      <c r="W116" s="27"/>
    </row>
    <row r="117" spans="1:23" x14ac:dyDescent="0.25">
      <c r="Q117" s="29">
        <v>81</v>
      </c>
      <c r="R117" s="30" t="s">
        <v>54</v>
      </c>
      <c r="S117" s="29" t="s">
        <v>30</v>
      </c>
      <c r="T117" s="29" t="s">
        <v>15</v>
      </c>
      <c r="U117" s="29">
        <v>78</v>
      </c>
      <c r="V117" s="126"/>
      <c r="W117" s="27"/>
    </row>
    <row r="118" spans="1:23" x14ac:dyDescent="0.25">
      <c r="Q118" s="29">
        <v>81</v>
      </c>
      <c r="R118" s="30" t="s">
        <v>54</v>
      </c>
      <c r="S118" s="29" t="s">
        <v>30</v>
      </c>
      <c r="T118" s="29" t="s">
        <v>16</v>
      </c>
      <c r="U118" s="29">
        <v>73</v>
      </c>
      <c r="V118" s="126"/>
      <c r="W118" s="27"/>
    </row>
    <row r="119" spans="1:23" x14ac:dyDescent="0.25">
      <c r="Q119" s="29">
        <v>81</v>
      </c>
      <c r="R119" s="30" t="s">
        <v>54</v>
      </c>
      <c r="S119" s="29" t="s">
        <v>30</v>
      </c>
      <c r="T119" s="29" t="s">
        <v>33</v>
      </c>
      <c r="U119" s="29">
        <v>59</v>
      </c>
      <c r="V119" s="126"/>
      <c r="W119" s="27"/>
    </row>
    <row r="120" spans="1:23" x14ac:dyDescent="0.25">
      <c r="Q120" s="29">
        <v>81</v>
      </c>
      <c r="R120" s="30" t="s">
        <v>54</v>
      </c>
      <c r="S120" s="29" t="s">
        <v>30</v>
      </c>
      <c r="T120" s="29" t="s">
        <v>34</v>
      </c>
      <c r="U120" s="29">
        <v>34</v>
      </c>
      <c r="V120" s="126"/>
      <c r="W120" s="27"/>
    </row>
    <row r="121" spans="1:23" x14ac:dyDescent="0.25">
      <c r="Q121" s="29">
        <v>81</v>
      </c>
      <c r="R121" s="30" t="s">
        <v>54</v>
      </c>
      <c r="S121" s="29" t="s">
        <v>30</v>
      </c>
      <c r="T121" s="29" t="s">
        <v>36</v>
      </c>
      <c r="U121" s="29">
        <v>15</v>
      </c>
      <c r="V121" s="126"/>
      <c r="W121" s="27"/>
    </row>
    <row r="122" spans="1:23" x14ac:dyDescent="0.25">
      <c r="Q122" s="29">
        <v>81</v>
      </c>
      <c r="R122" s="30" t="s">
        <v>54</v>
      </c>
      <c r="S122" s="29" t="s">
        <v>30</v>
      </c>
      <c r="T122" s="29" t="s">
        <v>35</v>
      </c>
      <c r="U122" s="29">
        <v>11</v>
      </c>
      <c r="V122" s="126"/>
      <c r="W122" s="27"/>
    </row>
    <row r="123" spans="1:23" x14ac:dyDescent="0.25">
      <c r="Q123" s="29">
        <v>81</v>
      </c>
      <c r="R123" s="30" t="s">
        <v>54</v>
      </c>
      <c r="S123" s="29" t="s">
        <v>30</v>
      </c>
      <c r="T123" s="29" t="s">
        <v>37</v>
      </c>
      <c r="U123" s="29">
        <v>10</v>
      </c>
      <c r="V123" s="127"/>
      <c r="W123" s="27"/>
    </row>
    <row r="124" spans="1:23" x14ac:dyDescent="0.25">
      <c r="Q124" s="26">
        <v>13</v>
      </c>
      <c r="R124" s="26" t="s">
        <v>55</v>
      </c>
      <c r="S124" s="26" t="s">
        <v>30</v>
      </c>
      <c r="T124" s="26" t="s">
        <v>9</v>
      </c>
      <c r="U124" s="26">
        <v>1077</v>
      </c>
      <c r="V124" s="122">
        <v>3179</v>
      </c>
      <c r="W124" s="26"/>
    </row>
    <row r="125" spans="1:23" x14ac:dyDescent="0.25">
      <c r="Q125" s="26">
        <v>13</v>
      </c>
      <c r="R125" s="26" t="s">
        <v>55</v>
      </c>
      <c r="S125" s="26" t="s">
        <v>30</v>
      </c>
      <c r="T125" s="26" t="s">
        <v>32</v>
      </c>
      <c r="U125" s="26">
        <v>896</v>
      </c>
      <c r="V125" s="123"/>
      <c r="W125" s="26"/>
    </row>
    <row r="126" spans="1:23" x14ac:dyDescent="0.25">
      <c r="Q126" s="26">
        <v>13</v>
      </c>
      <c r="R126" s="26" t="s">
        <v>55</v>
      </c>
      <c r="S126" s="26" t="s">
        <v>30</v>
      </c>
      <c r="T126" s="26" t="s">
        <v>31</v>
      </c>
      <c r="U126" s="26">
        <v>766</v>
      </c>
      <c r="V126" s="123"/>
      <c r="W126" s="26"/>
    </row>
    <row r="127" spans="1:23" x14ac:dyDescent="0.25">
      <c r="Q127" s="26">
        <v>13</v>
      </c>
      <c r="R127" s="26" t="s">
        <v>55</v>
      </c>
      <c r="S127" s="26" t="s">
        <v>30</v>
      </c>
      <c r="T127" s="26" t="s">
        <v>33</v>
      </c>
      <c r="U127" s="26">
        <v>290</v>
      </c>
      <c r="V127" s="123"/>
      <c r="W127" s="26"/>
    </row>
    <row r="128" spans="1:23" x14ac:dyDescent="0.25">
      <c r="Q128" s="26">
        <v>13</v>
      </c>
      <c r="R128" s="26" t="s">
        <v>55</v>
      </c>
      <c r="S128" s="26" t="s">
        <v>30</v>
      </c>
      <c r="T128" s="26" t="s">
        <v>16</v>
      </c>
      <c r="U128" s="26">
        <v>88</v>
      </c>
      <c r="V128" s="123"/>
      <c r="W128" s="26"/>
    </row>
    <row r="129" spans="17:23" x14ac:dyDescent="0.25">
      <c r="Q129" s="26">
        <v>13</v>
      </c>
      <c r="R129" s="26" t="s">
        <v>55</v>
      </c>
      <c r="S129" s="26" t="s">
        <v>30</v>
      </c>
      <c r="T129" s="26" t="s">
        <v>15</v>
      </c>
      <c r="U129" s="26">
        <v>27</v>
      </c>
      <c r="V129" s="123"/>
      <c r="W129" s="26"/>
    </row>
    <row r="130" spans="17:23" x14ac:dyDescent="0.25">
      <c r="Q130" s="26">
        <v>13</v>
      </c>
      <c r="R130" s="26" t="s">
        <v>55</v>
      </c>
      <c r="S130" s="26" t="s">
        <v>30</v>
      </c>
      <c r="T130" s="26" t="s">
        <v>37</v>
      </c>
      <c r="U130" s="26">
        <v>11</v>
      </c>
      <c r="V130" s="123"/>
      <c r="W130" s="26"/>
    </row>
    <row r="131" spans="17:23" x14ac:dyDescent="0.25">
      <c r="Q131" s="26">
        <v>13</v>
      </c>
      <c r="R131" s="26" t="s">
        <v>55</v>
      </c>
      <c r="S131" s="26" t="s">
        <v>30</v>
      </c>
      <c r="T131" s="26" t="s">
        <v>35</v>
      </c>
      <c r="U131" s="26">
        <v>9</v>
      </c>
      <c r="V131" s="123"/>
      <c r="W131" s="26"/>
    </row>
    <row r="132" spans="17:23" x14ac:dyDescent="0.25">
      <c r="Q132" s="26">
        <v>13</v>
      </c>
      <c r="R132" s="26" t="s">
        <v>55</v>
      </c>
      <c r="S132" s="26" t="s">
        <v>30</v>
      </c>
      <c r="T132" s="26" t="s">
        <v>36</v>
      </c>
      <c r="U132" s="26">
        <v>8</v>
      </c>
      <c r="V132" s="123"/>
      <c r="W132" s="26"/>
    </row>
    <row r="133" spans="17:23" x14ac:dyDescent="0.25">
      <c r="Q133" s="26">
        <v>13</v>
      </c>
      <c r="R133" s="26" t="s">
        <v>55</v>
      </c>
      <c r="S133" s="26" t="s">
        <v>30</v>
      </c>
      <c r="T133" s="26" t="s">
        <v>34</v>
      </c>
      <c r="U133" s="26">
        <v>7</v>
      </c>
      <c r="V133" s="124"/>
      <c r="W133" s="26"/>
    </row>
    <row r="134" spans="17:23" x14ac:dyDescent="0.25">
      <c r="Q134" s="29">
        <v>65</v>
      </c>
      <c r="R134" s="30" t="s">
        <v>56</v>
      </c>
      <c r="S134" s="29" t="s">
        <v>30</v>
      </c>
      <c r="T134" s="29" t="s">
        <v>9</v>
      </c>
      <c r="U134" s="29">
        <v>1289</v>
      </c>
      <c r="V134" s="125">
        <f>SUM(U134:U143)</f>
        <v>2717</v>
      </c>
      <c r="W134" s="27"/>
    </row>
    <row r="135" spans="17:23" x14ac:dyDescent="0.25">
      <c r="Q135" s="29">
        <v>65</v>
      </c>
      <c r="R135" s="30" t="s">
        <v>56</v>
      </c>
      <c r="S135" s="29" t="s">
        <v>30</v>
      </c>
      <c r="T135" s="29" t="s">
        <v>31</v>
      </c>
      <c r="U135" s="29">
        <v>1088</v>
      </c>
      <c r="V135" s="126"/>
      <c r="W135" s="27"/>
    </row>
    <row r="136" spans="17:23" x14ac:dyDescent="0.25">
      <c r="Q136" s="29">
        <v>65</v>
      </c>
      <c r="R136" s="30" t="s">
        <v>56</v>
      </c>
      <c r="S136" s="29" t="s">
        <v>30</v>
      </c>
      <c r="T136" s="29" t="s">
        <v>16</v>
      </c>
      <c r="U136" s="29">
        <v>89</v>
      </c>
      <c r="V136" s="126"/>
      <c r="W136" s="27"/>
    </row>
    <row r="137" spans="17:23" x14ac:dyDescent="0.25">
      <c r="Q137" s="29">
        <v>65</v>
      </c>
      <c r="R137" s="30" t="s">
        <v>56</v>
      </c>
      <c r="S137" s="29" t="s">
        <v>30</v>
      </c>
      <c r="T137" s="29" t="s">
        <v>32</v>
      </c>
      <c r="U137" s="29">
        <v>76</v>
      </c>
      <c r="V137" s="126"/>
      <c r="W137" s="27"/>
    </row>
    <row r="138" spans="17:23" x14ac:dyDescent="0.25">
      <c r="Q138" s="29">
        <v>65</v>
      </c>
      <c r="R138" s="30" t="s">
        <v>56</v>
      </c>
      <c r="S138" s="29" t="s">
        <v>30</v>
      </c>
      <c r="T138" s="29" t="s">
        <v>35</v>
      </c>
      <c r="U138" s="29">
        <v>69</v>
      </c>
      <c r="V138" s="126"/>
      <c r="W138" s="27"/>
    </row>
    <row r="139" spans="17:23" x14ac:dyDescent="0.25">
      <c r="Q139" s="29">
        <v>65</v>
      </c>
      <c r="R139" s="30" t="s">
        <v>56</v>
      </c>
      <c r="S139" s="29" t="s">
        <v>30</v>
      </c>
      <c r="T139" s="29" t="s">
        <v>15</v>
      </c>
      <c r="U139" s="29">
        <v>41</v>
      </c>
      <c r="V139" s="126"/>
      <c r="W139" s="27"/>
    </row>
    <row r="140" spans="17:23" x14ac:dyDescent="0.25">
      <c r="Q140" s="29">
        <v>65</v>
      </c>
      <c r="R140" s="30" t="s">
        <v>56</v>
      </c>
      <c r="S140" s="29" t="s">
        <v>30</v>
      </c>
      <c r="T140" s="29" t="s">
        <v>33</v>
      </c>
      <c r="U140" s="29">
        <v>35</v>
      </c>
      <c r="V140" s="126"/>
      <c r="W140" s="27"/>
    </row>
    <row r="141" spans="17:23" x14ac:dyDescent="0.25">
      <c r="Q141" s="29">
        <v>65</v>
      </c>
      <c r="R141" s="30" t="s">
        <v>56</v>
      </c>
      <c r="S141" s="29" t="s">
        <v>30</v>
      </c>
      <c r="T141" s="29" t="s">
        <v>34</v>
      </c>
      <c r="U141" s="29">
        <v>10</v>
      </c>
      <c r="V141" s="126"/>
      <c r="W141" s="27"/>
    </row>
    <row r="142" spans="17:23" x14ac:dyDescent="0.25">
      <c r="Q142" s="29">
        <v>65</v>
      </c>
      <c r="R142" s="30" t="s">
        <v>56</v>
      </c>
      <c r="S142" s="29" t="s">
        <v>30</v>
      </c>
      <c r="T142" s="29" t="s">
        <v>36</v>
      </c>
      <c r="U142" s="29">
        <v>10</v>
      </c>
      <c r="V142" s="126"/>
      <c r="W142" s="27"/>
    </row>
    <row r="143" spans="17:23" x14ac:dyDescent="0.25">
      <c r="Q143" s="29">
        <v>65</v>
      </c>
      <c r="R143" s="30" t="s">
        <v>56</v>
      </c>
      <c r="S143" s="29" t="s">
        <v>30</v>
      </c>
      <c r="T143" s="29" t="s">
        <v>37</v>
      </c>
      <c r="U143" s="29">
        <v>10</v>
      </c>
      <c r="V143" s="127"/>
      <c r="W143" s="27"/>
    </row>
  </sheetData>
  <mergeCells count="50">
    <mergeCell ref="V84:V93"/>
    <mergeCell ref="V74:V83"/>
    <mergeCell ref="V64:V73"/>
    <mergeCell ref="V54:V63"/>
    <mergeCell ref="V134:V143"/>
    <mergeCell ref="V94:V103"/>
    <mergeCell ref="V104:V113"/>
    <mergeCell ref="V114:V123"/>
    <mergeCell ref="V124:V133"/>
    <mergeCell ref="G84:G91"/>
    <mergeCell ref="G92:G99"/>
    <mergeCell ref="G100:G107"/>
    <mergeCell ref="G108:G115"/>
    <mergeCell ref="O84:O91"/>
    <mergeCell ref="O92:O99"/>
    <mergeCell ref="O100:O107"/>
    <mergeCell ref="O108:O115"/>
    <mergeCell ref="O44:O51"/>
    <mergeCell ref="O52:O59"/>
    <mergeCell ref="O60:O67"/>
    <mergeCell ref="O68:O75"/>
    <mergeCell ref="O76:O83"/>
    <mergeCell ref="G44:G51"/>
    <mergeCell ref="G52:G59"/>
    <mergeCell ref="G60:G67"/>
    <mergeCell ref="G68:G75"/>
    <mergeCell ref="G76:G83"/>
    <mergeCell ref="V24:V33"/>
    <mergeCell ref="W24:W33"/>
    <mergeCell ref="V34:V43"/>
    <mergeCell ref="W34:W43"/>
    <mergeCell ref="V44:V53"/>
    <mergeCell ref="W44:W53"/>
    <mergeCell ref="Q2:W2"/>
    <mergeCell ref="V4:V13"/>
    <mergeCell ref="V14:V23"/>
    <mergeCell ref="W4:W13"/>
    <mergeCell ref="W14:W23"/>
    <mergeCell ref="O28:O35"/>
    <mergeCell ref="O36:O43"/>
    <mergeCell ref="G4:G11"/>
    <mergeCell ref="A2:G2"/>
    <mergeCell ref="G12:G19"/>
    <mergeCell ref="G20:G27"/>
    <mergeCell ref="G28:G35"/>
    <mergeCell ref="G36:G43"/>
    <mergeCell ref="I2:O2"/>
    <mergeCell ref="O4:O11"/>
    <mergeCell ref="O12:O19"/>
    <mergeCell ref="O20:O27"/>
  </mergeCells>
  <dataValidations count="9">
    <dataValidation type="list" allowBlank="1" showErrorMessage="1" sqref="K4:K13" xr:uid="{E48C13ED-967D-4CA2-8109-7395F4308BE0}">
      <formula1>#REF!</formula1>
    </dataValidation>
    <dataValidation type="list" allowBlank="1" sqref="L4:L13" xr:uid="{155F6E77-42FC-45ED-920D-CDC8453C5057}">
      <formula1>$J$44:$J$83</formula1>
    </dataValidation>
    <dataValidation type="list" allowBlank="1" sqref="D3:D11 L3 T3" xr:uid="{48CD3304-24B0-46B6-82A0-1BC399089DFA}">
      <formula1>$J$44:$J$87</formula1>
    </dataValidation>
    <dataValidation type="list" allowBlank="1" sqref="K3 S3 C3:C43" xr:uid="{B532A038-6B0E-4B47-AEB9-4F68AC4D2AB9}">
      <formula1>#REF!</formula1>
    </dataValidation>
    <dataValidation type="list" allowBlank="1" sqref="D12:D43" xr:uid="{CA3386E1-EF8B-4F9C-AC20-9F6D94279AE2}">
      <formula1>$J$44:$J$86</formula1>
    </dataValidation>
    <dataValidation type="list" allowBlank="1" showErrorMessage="1" sqref="S4:S123 S134:S143" xr:uid="{95F61B99-F372-46D4-9367-044A1496E0DC}">
      <formula1>$I$4:$I$14</formula1>
    </dataValidation>
    <dataValidation type="list" allowBlank="1" sqref="T4:T123 T134:T143" xr:uid="{28CBFF65-8BC4-47D6-A2F8-7F75206B67D8}">
      <formula1>$J$4:$J$82</formula1>
    </dataValidation>
    <dataValidation type="list" allowBlank="1" sqref="D44:D115" xr:uid="{59F3F309-E8BE-4672-A2B5-4D682715FD32}">
      <formula1>$J$4:$J$85</formula1>
    </dataValidation>
    <dataValidation type="list" allowBlank="1" sqref="C44:C115" xr:uid="{0EAC496F-7270-47A3-B8AE-83A836299FAC}">
      <formula1>$I$4:$I$11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36C3-701C-4FE0-B6BC-30F99B224E3A}">
  <dimension ref="A1:Q132"/>
  <sheetViews>
    <sheetView topLeftCell="A52" workbookViewId="0">
      <selection activeCell="J137" sqref="J137"/>
    </sheetView>
  </sheetViews>
  <sheetFormatPr baseColWidth="10" defaultRowHeight="15" x14ac:dyDescent="0.25"/>
  <cols>
    <col min="1" max="1" width="12.42578125" bestFit="1" customWidth="1"/>
    <col min="2" max="2" width="29.28515625" bestFit="1" customWidth="1"/>
    <col min="3" max="3" width="21" bestFit="1" customWidth="1"/>
    <col min="4" max="4" width="22" customWidth="1"/>
    <col min="5" max="5" width="14.140625" bestFit="1" customWidth="1"/>
    <col min="6" max="6" width="11.42578125" customWidth="1"/>
    <col min="7" max="7" width="13.140625" customWidth="1"/>
    <col min="12" max="12" width="15.140625" customWidth="1"/>
    <col min="13" max="13" width="14.7109375" bestFit="1" customWidth="1"/>
    <col min="14" max="14" width="17" bestFit="1" customWidth="1"/>
    <col min="15" max="15" width="23.7109375" bestFit="1" customWidth="1"/>
  </cols>
  <sheetData>
    <row r="1" spans="1:13" ht="21" thickBot="1" x14ac:dyDescent="0.35">
      <c r="A1" s="140" t="s">
        <v>17</v>
      </c>
      <c r="B1" s="141"/>
      <c r="C1" s="141"/>
      <c r="D1" s="141"/>
      <c r="E1" s="141"/>
      <c r="F1" s="141"/>
      <c r="G1" s="157"/>
      <c r="H1" s="140" t="s">
        <v>47</v>
      </c>
      <c r="I1" s="142"/>
      <c r="J1" s="183" t="s">
        <v>47</v>
      </c>
      <c r="K1" s="183"/>
      <c r="L1" s="183"/>
    </row>
    <row r="2" spans="1:13" ht="21" thickBot="1" x14ac:dyDescent="0.35">
      <c r="A2" s="69" t="s">
        <v>0</v>
      </c>
      <c r="B2" s="70" t="s">
        <v>1</v>
      </c>
      <c r="C2" s="69" t="s">
        <v>2</v>
      </c>
      <c r="D2" s="69" t="s">
        <v>3</v>
      </c>
      <c r="E2" s="69" t="s">
        <v>4</v>
      </c>
      <c r="F2" s="69" t="s">
        <v>5</v>
      </c>
      <c r="G2" s="71" t="s">
        <v>6</v>
      </c>
      <c r="H2" s="69" t="s">
        <v>25</v>
      </c>
      <c r="I2" s="69" t="s">
        <v>24</v>
      </c>
      <c r="J2" s="69" t="s">
        <v>26</v>
      </c>
      <c r="K2" s="69" t="s">
        <v>24</v>
      </c>
      <c r="L2" s="69" t="s">
        <v>42</v>
      </c>
    </row>
    <row r="3" spans="1:13" ht="21" x14ac:dyDescent="0.35">
      <c r="A3" s="31" t="s">
        <v>7</v>
      </c>
      <c r="B3" s="32" t="s">
        <v>1</v>
      </c>
      <c r="C3" s="33" t="s">
        <v>8</v>
      </c>
      <c r="D3" s="33" t="s">
        <v>9</v>
      </c>
      <c r="E3" s="33">
        <v>22866</v>
      </c>
      <c r="F3" s="143">
        <f>+E3+E4+E5+E6</f>
        <v>65254</v>
      </c>
      <c r="G3" s="143">
        <v>90619</v>
      </c>
      <c r="H3" s="34">
        <v>24519</v>
      </c>
      <c r="I3" s="143">
        <f>+H3+H4+H5</f>
        <v>59058</v>
      </c>
      <c r="J3" s="34">
        <v>24632</v>
      </c>
      <c r="K3" s="138">
        <f>+J3+J4+J5</f>
        <v>59097</v>
      </c>
      <c r="L3" s="137">
        <v>93172</v>
      </c>
      <c r="M3" s="190">
        <v>1</v>
      </c>
    </row>
    <row r="4" spans="1:13" ht="21" x14ac:dyDescent="0.35">
      <c r="A4" s="35" t="s">
        <v>7</v>
      </c>
      <c r="B4" s="36" t="s">
        <v>1</v>
      </c>
      <c r="C4" s="37" t="s">
        <v>8</v>
      </c>
      <c r="D4" s="37" t="s">
        <v>14</v>
      </c>
      <c r="E4" s="37">
        <v>30769</v>
      </c>
      <c r="F4" s="137"/>
      <c r="G4" s="137"/>
      <c r="H4" s="38">
        <v>26837</v>
      </c>
      <c r="I4" s="137"/>
      <c r="J4" s="38">
        <v>26751</v>
      </c>
      <c r="K4" s="185"/>
      <c r="L4" s="137"/>
      <c r="M4" s="190"/>
    </row>
    <row r="5" spans="1:13" ht="21" x14ac:dyDescent="0.35">
      <c r="A5" s="35" t="s">
        <v>7</v>
      </c>
      <c r="B5" s="36" t="s">
        <v>1</v>
      </c>
      <c r="C5" s="37" t="s">
        <v>8</v>
      </c>
      <c r="D5" s="38" t="s">
        <v>22</v>
      </c>
      <c r="E5" s="38">
        <f>+'Votos por partido'!E5+'Votos por partido'!E6+'Votos por partido'!E7+'Votos por partido'!E8</f>
        <v>8313</v>
      </c>
      <c r="F5" s="137"/>
      <c r="G5" s="137"/>
      <c r="H5" s="38">
        <v>7702</v>
      </c>
      <c r="I5" s="137"/>
      <c r="J5" s="38">
        <v>7714</v>
      </c>
      <c r="K5" s="185"/>
      <c r="L5" s="137"/>
      <c r="M5" s="190"/>
    </row>
    <row r="6" spans="1:13" ht="21.75" thickBot="1" x14ac:dyDescent="0.4">
      <c r="A6" s="39" t="s">
        <v>7</v>
      </c>
      <c r="B6" s="40" t="s">
        <v>1</v>
      </c>
      <c r="C6" s="41" t="s">
        <v>8</v>
      </c>
      <c r="D6" s="42" t="s">
        <v>23</v>
      </c>
      <c r="E6" s="42">
        <f>+'Votos por partido'!E10+'Votos por partido'!E11</f>
        <v>3306</v>
      </c>
      <c r="F6" s="144"/>
      <c r="G6" s="144"/>
      <c r="H6" s="42"/>
      <c r="I6" s="144"/>
      <c r="J6" s="42"/>
      <c r="K6" s="186"/>
      <c r="L6" s="137"/>
      <c r="M6" s="190"/>
    </row>
    <row r="7" spans="1:13" ht="21" x14ac:dyDescent="0.35">
      <c r="A7" s="43">
        <v>58</v>
      </c>
      <c r="B7" s="44" t="s">
        <v>44</v>
      </c>
      <c r="C7" s="45" t="s">
        <v>8</v>
      </c>
      <c r="D7" s="45" t="s">
        <v>9</v>
      </c>
      <c r="E7" s="45">
        <f>+'Votos por partido'!E12</f>
        <v>11755</v>
      </c>
      <c r="F7" s="158">
        <f>+E7+E8+E9+E10</f>
        <v>37683</v>
      </c>
      <c r="G7" s="158">
        <f>+'Votos por partido'!G12</f>
        <v>50143</v>
      </c>
      <c r="H7" s="46">
        <v>11694</v>
      </c>
      <c r="I7" s="158">
        <f>+H7+H8+H9</f>
        <v>34455</v>
      </c>
      <c r="J7" s="46">
        <v>11681</v>
      </c>
      <c r="K7" s="187">
        <f>+J7+J8+J9</f>
        <v>34372</v>
      </c>
      <c r="L7" s="159">
        <v>51731</v>
      </c>
      <c r="M7" s="190">
        <v>2</v>
      </c>
    </row>
    <row r="8" spans="1:13" ht="21" x14ac:dyDescent="0.35">
      <c r="A8" s="47">
        <v>58</v>
      </c>
      <c r="B8" s="44" t="s">
        <v>44</v>
      </c>
      <c r="C8" s="44" t="s">
        <v>8</v>
      </c>
      <c r="D8" s="44" t="s">
        <v>14</v>
      </c>
      <c r="E8" s="44">
        <f>+'Votos por partido'!E17</f>
        <v>18453</v>
      </c>
      <c r="F8" s="159"/>
      <c r="G8" s="159"/>
      <c r="H8" s="48">
        <v>18739</v>
      </c>
      <c r="I8" s="159"/>
      <c r="J8" s="48">
        <v>18714</v>
      </c>
      <c r="K8" s="188"/>
      <c r="L8" s="159"/>
      <c r="M8" s="190"/>
    </row>
    <row r="9" spans="1:13" ht="21" x14ac:dyDescent="0.35">
      <c r="A9" s="47">
        <v>58</v>
      </c>
      <c r="B9" s="44" t="s">
        <v>44</v>
      </c>
      <c r="C9" s="44" t="s">
        <v>8</v>
      </c>
      <c r="D9" s="49" t="s">
        <v>22</v>
      </c>
      <c r="E9" s="49">
        <f>+'Votos por partido'!E13+'Votos por partido'!E14+'Votos por partido'!E15+'Votos por partido'!E16</f>
        <v>5338</v>
      </c>
      <c r="F9" s="159"/>
      <c r="G9" s="159"/>
      <c r="H9" s="48">
        <v>4022</v>
      </c>
      <c r="I9" s="159"/>
      <c r="J9" s="48">
        <v>3977</v>
      </c>
      <c r="K9" s="188"/>
      <c r="L9" s="159"/>
      <c r="M9" s="190"/>
    </row>
    <row r="10" spans="1:13" ht="21.75" thickBot="1" x14ac:dyDescent="0.4">
      <c r="A10" s="50">
        <v>58</v>
      </c>
      <c r="B10" s="44" t="s">
        <v>44</v>
      </c>
      <c r="C10" s="51" t="s">
        <v>8</v>
      </c>
      <c r="D10" s="52" t="s">
        <v>23</v>
      </c>
      <c r="E10" s="52">
        <f>+'Votos por partido'!E18+'Votos por partido'!E19</f>
        <v>2137</v>
      </c>
      <c r="F10" s="160"/>
      <c r="G10" s="160"/>
      <c r="H10" s="53"/>
      <c r="I10" s="160"/>
      <c r="J10" s="53"/>
      <c r="K10" s="189"/>
      <c r="L10" s="159"/>
      <c r="M10" s="190"/>
    </row>
    <row r="11" spans="1:13" ht="21" x14ac:dyDescent="0.35">
      <c r="A11" s="54">
        <v>93</v>
      </c>
      <c r="B11" s="37" t="s">
        <v>45</v>
      </c>
      <c r="C11" s="33" t="s">
        <v>8</v>
      </c>
      <c r="D11" s="33" t="s">
        <v>9</v>
      </c>
      <c r="E11" s="34">
        <f>+'Votos por partido'!E20</f>
        <v>2319</v>
      </c>
      <c r="F11" s="148">
        <f>+E11+E12+E13+E14</f>
        <v>8132</v>
      </c>
      <c r="G11" s="148">
        <f>+'Votos por partido'!G20</f>
        <v>11653</v>
      </c>
      <c r="H11" s="34">
        <v>2257</v>
      </c>
      <c r="I11" s="143">
        <f>+H11+H12+H13</f>
        <v>7400</v>
      </c>
      <c r="J11" s="34">
        <v>2253</v>
      </c>
      <c r="K11" s="138">
        <f>+J11+J12+J13</f>
        <v>7676</v>
      </c>
      <c r="L11" s="137">
        <v>11993</v>
      </c>
      <c r="M11" s="190">
        <v>3</v>
      </c>
    </row>
    <row r="12" spans="1:13" ht="21" x14ac:dyDescent="0.35">
      <c r="A12" s="55">
        <v>93</v>
      </c>
      <c r="B12" s="37" t="s">
        <v>45</v>
      </c>
      <c r="C12" s="37" t="s">
        <v>8</v>
      </c>
      <c r="D12" s="37" t="s">
        <v>14</v>
      </c>
      <c r="E12" s="38">
        <f>+'Votos por partido'!E25</f>
        <v>4528</v>
      </c>
      <c r="F12" s="149"/>
      <c r="G12" s="149"/>
      <c r="H12" s="38">
        <v>4457</v>
      </c>
      <c r="I12" s="137"/>
      <c r="J12" s="38">
        <v>4733</v>
      </c>
      <c r="K12" s="185"/>
      <c r="L12" s="137"/>
      <c r="M12" s="190"/>
    </row>
    <row r="13" spans="1:13" ht="21" x14ac:dyDescent="0.35">
      <c r="A13" s="55">
        <v>93</v>
      </c>
      <c r="B13" s="37" t="s">
        <v>45</v>
      </c>
      <c r="C13" s="37" t="s">
        <v>8</v>
      </c>
      <c r="D13" s="38" t="s">
        <v>22</v>
      </c>
      <c r="E13" s="38">
        <f>+'Votos por partido'!E21+'Votos por partido'!E22+'Votos por partido'!E23+'Votos por partido'!E24</f>
        <v>618</v>
      </c>
      <c r="F13" s="149"/>
      <c r="G13" s="149"/>
      <c r="H13" s="38">
        <v>686</v>
      </c>
      <c r="I13" s="137"/>
      <c r="J13" s="38">
        <v>690</v>
      </c>
      <c r="K13" s="185"/>
      <c r="L13" s="137"/>
      <c r="M13" s="190"/>
    </row>
    <row r="14" spans="1:13" ht="21.75" thickBot="1" x14ac:dyDescent="0.4">
      <c r="A14" s="56">
        <v>93</v>
      </c>
      <c r="B14" s="37" t="s">
        <v>45</v>
      </c>
      <c r="C14" s="41" t="s">
        <v>8</v>
      </c>
      <c r="D14" s="42" t="s">
        <v>23</v>
      </c>
      <c r="E14" s="42">
        <f>+'Votos por partido'!E26+'Votos por partido'!E27</f>
        <v>667</v>
      </c>
      <c r="F14" s="150"/>
      <c r="G14" s="150"/>
      <c r="H14" s="42"/>
      <c r="I14" s="144"/>
      <c r="J14" s="42"/>
      <c r="K14" s="186"/>
      <c r="L14" s="137"/>
      <c r="M14" s="190"/>
    </row>
    <row r="15" spans="1:13" ht="21" x14ac:dyDescent="0.35">
      <c r="A15" s="57">
        <v>27</v>
      </c>
      <c r="B15" s="44" t="s">
        <v>46</v>
      </c>
      <c r="C15" s="45" t="s">
        <v>8</v>
      </c>
      <c r="D15" s="45" t="s">
        <v>9</v>
      </c>
      <c r="E15" s="46">
        <f>+'Votos por partido'!E28</f>
        <v>2488</v>
      </c>
      <c r="F15" s="145">
        <f>+E15+E16+E17+E18</f>
        <v>6505</v>
      </c>
      <c r="G15" s="145">
        <f>+'Votos por partido'!G28</f>
        <v>8766</v>
      </c>
      <c r="H15" s="46">
        <v>1944</v>
      </c>
      <c r="I15" s="145">
        <f>+H15+H16+H17</f>
        <v>5599</v>
      </c>
      <c r="J15" s="46">
        <v>1943</v>
      </c>
      <c r="K15" s="151">
        <f>+J15+J16+J17</f>
        <v>5565</v>
      </c>
      <c r="L15" s="159">
        <v>8903</v>
      </c>
      <c r="M15" s="190">
        <v>4</v>
      </c>
    </row>
    <row r="16" spans="1:13" ht="21" x14ac:dyDescent="0.35">
      <c r="A16" s="58">
        <v>27</v>
      </c>
      <c r="B16" s="44" t="s">
        <v>46</v>
      </c>
      <c r="C16" s="44" t="s">
        <v>8</v>
      </c>
      <c r="D16" s="44" t="s">
        <v>14</v>
      </c>
      <c r="E16" s="48">
        <f>+'Votos por partido'!E33</f>
        <v>3130</v>
      </c>
      <c r="F16" s="146"/>
      <c r="G16" s="146"/>
      <c r="H16" s="48">
        <v>3233</v>
      </c>
      <c r="I16" s="146"/>
      <c r="J16" s="48">
        <v>3196</v>
      </c>
      <c r="K16" s="152"/>
      <c r="L16" s="159"/>
      <c r="M16" s="190"/>
    </row>
    <row r="17" spans="1:13" ht="21" x14ac:dyDescent="0.35">
      <c r="A17" s="58">
        <v>27</v>
      </c>
      <c r="B17" s="44" t="s">
        <v>46</v>
      </c>
      <c r="C17" s="44" t="s">
        <v>8</v>
      </c>
      <c r="D17" s="49" t="s">
        <v>22</v>
      </c>
      <c r="E17" s="48">
        <f>+'Votos por partido'!E29+'Votos por partido'!E30+'Votos por partido'!E31+'Votos por partido'!E32</f>
        <v>502</v>
      </c>
      <c r="F17" s="146"/>
      <c r="G17" s="146"/>
      <c r="H17" s="48">
        <v>422</v>
      </c>
      <c r="I17" s="146"/>
      <c r="J17" s="48">
        <v>426</v>
      </c>
      <c r="K17" s="152"/>
      <c r="L17" s="159"/>
      <c r="M17" s="190"/>
    </row>
    <row r="18" spans="1:13" ht="21.75" thickBot="1" x14ac:dyDescent="0.4">
      <c r="A18" s="59">
        <v>27</v>
      </c>
      <c r="B18" s="44" t="s">
        <v>46</v>
      </c>
      <c r="C18" s="51" t="s">
        <v>8</v>
      </c>
      <c r="D18" s="52" t="s">
        <v>23</v>
      </c>
      <c r="E18" s="53">
        <f>+'Votos por partido'!E34+'Votos por partido'!E35</f>
        <v>385</v>
      </c>
      <c r="F18" s="147"/>
      <c r="G18" s="147"/>
      <c r="H18" s="53"/>
      <c r="I18" s="147"/>
      <c r="J18" s="53"/>
      <c r="K18" s="153"/>
      <c r="L18" s="159"/>
      <c r="M18" s="190"/>
    </row>
    <row r="19" spans="1:13" ht="21" x14ac:dyDescent="0.35">
      <c r="A19" s="54">
        <v>86</v>
      </c>
      <c r="B19" s="34" t="s">
        <v>27</v>
      </c>
      <c r="C19" s="33" t="s">
        <v>8</v>
      </c>
      <c r="D19" s="33" t="s">
        <v>9</v>
      </c>
      <c r="E19" s="34">
        <f>+'Votos por partido'!E36</f>
        <v>3678</v>
      </c>
      <c r="F19" s="148">
        <f>+E19+E20+E21+E22</f>
        <v>8997</v>
      </c>
      <c r="G19" s="148">
        <f>+'Votos por partido'!G36</f>
        <v>12268</v>
      </c>
      <c r="H19" s="34">
        <v>3586</v>
      </c>
      <c r="I19" s="148">
        <f>+H19+H20+H21</f>
        <v>9000</v>
      </c>
      <c r="J19" s="34">
        <v>3587</v>
      </c>
      <c r="K19" s="154">
        <f>+J19+J20+J21</f>
        <v>8979</v>
      </c>
      <c r="L19" s="137">
        <v>14128</v>
      </c>
      <c r="M19" s="190">
        <v>5</v>
      </c>
    </row>
    <row r="20" spans="1:13" ht="21" x14ac:dyDescent="0.35">
      <c r="A20" s="55">
        <v>86</v>
      </c>
      <c r="B20" s="38" t="s">
        <v>27</v>
      </c>
      <c r="C20" s="37" t="s">
        <v>8</v>
      </c>
      <c r="D20" s="37" t="s">
        <v>14</v>
      </c>
      <c r="E20" s="38">
        <f>+'Votos por partido'!E41</f>
        <v>3986</v>
      </c>
      <c r="F20" s="149"/>
      <c r="G20" s="149"/>
      <c r="H20" s="38">
        <v>4355</v>
      </c>
      <c r="I20" s="149"/>
      <c r="J20" s="38">
        <v>4335</v>
      </c>
      <c r="K20" s="155"/>
      <c r="L20" s="137"/>
      <c r="M20" s="190"/>
    </row>
    <row r="21" spans="1:13" ht="21" x14ac:dyDescent="0.35">
      <c r="A21" s="55">
        <v>86</v>
      </c>
      <c r="B21" s="38" t="s">
        <v>27</v>
      </c>
      <c r="C21" s="37" t="s">
        <v>8</v>
      </c>
      <c r="D21" s="38" t="s">
        <v>22</v>
      </c>
      <c r="E21" s="38">
        <f>+'Votos por partido'!E37+'Votos por partido'!E38+'Votos por partido'!E39+'Votos por partido'!E40</f>
        <v>877</v>
      </c>
      <c r="F21" s="149"/>
      <c r="G21" s="149"/>
      <c r="H21" s="38">
        <v>1059</v>
      </c>
      <c r="I21" s="149"/>
      <c r="J21" s="38">
        <v>1057</v>
      </c>
      <c r="K21" s="155"/>
      <c r="L21" s="137"/>
      <c r="M21" s="190"/>
    </row>
    <row r="22" spans="1:13" ht="21.75" thickBot="1" x14ac:dyDescent="0.4">
      <c r="A22" s="56">
        <v>86</v>
      </c>
      <c r="B22" s="42" t="s">
        <v>27</v>
      </c>
      <c r="C22" s="41" t="s">
        <v>8</v>
      </c>
      <c r="D22" s="42" t="s">
        <v>23</v>
      </c>
      <c r="E22" s="42">
        <f>+'Votos por partido'!E42+'Votos por partido'!E43</f>
        <v>456</v>
      </c>
      <c r="F22" s="150"/>
      <c r="G22" s="150"/>
      <c r="H22" s="42"/>
      <c r="I22" s="150"/>
      <c r="J22" s="42"/>
      <c r="K22" s="156"/>
      <c r="L22" s="137"/>
      <c r="M22" s="190"/>
    </row>
    <row r="23" spans="1:13" ht="21" x14ac:dyDescent="0.35">
      <c r="A23" s="60">
        <v>61</v>
      </c>
      <c r="B23" s="61" t="s">
        <v>48</v>
      </c>
      <c r="C23" s="44" t="s">
        <v>8</v>
      </c>
      <c r="D23" s="45" t="s">
        <v>9</v>
      </c>
      <c r="E23" s="61">
        <f>+'Votos por partido'!E44</f>
        <v>2016</v>
      </c>
      <c r="F23" s="161">
        <f>E25+E26+E23+E24</f>
        <v>5242</v>
      </c>
      <c r="G23" s="161">
        <v>7373</v>
      </c>
      <c r="H23" s="94">
        <f>+'2021'!B52</f>
        <v>2084</v>
      </c>
      <c r="I23" s="184">
        <f>SUM(H23:H26)</f>
        <v>5176</v>
      </c>
      <c r="J23" s="94">
        <f>+'2021'!D52</f>
        <v>2071</v>
      </c>
      <c r="K23" s="177">
        <f>SUM(J23:J26)</f>
        <v>5207</v>
      </c>
      <c r="L23" s="164">
        <f ca="1">SUM(L23:L26)</f>
        <v>0</v>
      </c>
      <c r="M23" s="190">
        <v>6</v>
      </c>
    </row>
    <row r="24" spans="1:13" ht="21" x14ac:dyDescent="0.35">
      <c r="A24" s="62">
        <v>61</v>
      </c>
      <c r="B24" s="49" t="s">
        <v>48</v>
      </c>
      <c r="C24" s="44" t="s">
        <v>8</v>
      </c>
      <c r="D24" s="44" t="s">
        <v>14</v>
      </c>
      <c r="E24" s="49">
        <f>+'Votos por partido'!E49</f>
        <v>2307</v>
      </c>
      <c r="F24" s="162"/>
      <c r="G24" s="162"/>
      <c r="H24" s="95">
        <f>+'2021'!B50</f>
        <v>2585</v>
      </c>
      <c r="I24" s="162"/>
      <c r="J24" s="95">
        <f>+'2021'!D50</f>
        <v>2600</v>
      </c>
      <c r="K24" s="173"/>
      <c r="L24" s="164"/>
      <c r="M24" s="190"/>
    </row>
    <row r="25" spans="1:13" ht="21" x14ac:dyDescent="0.35">
      <c r="A25" s="62">
        <v>61</v>
      </c>
      <c r="B25" s="49" t="s">
        <v>48</v>
      </c>
      <c r="C25" s="44" t="s">
        <v>8</v>
      </c>
      <c r="D25" s="49" t="s">
        <v>22</v>
      </c>
      <c r="E25" s="49">
        <f>+'Votos por partido'!E45+'Votos por partido'!E46+'Votos por partido'!E47+'Votos por partido'!E48</f>
        <v>507</v>
      </c>
      <c r="F25" s="162"/>
      <c r="G25" s="162"/>
      <c r="H25" s="49">
        <f>+'2021'!B54</f>
        <v>507</v>
      </c>
      <c r="I25" s="162"/>
      <c r="J25" s="49">
        <f>+'2021'!D54</f>
        <v>536</v>
      </c>
      <c r="K25" s="173"/>
      <c r="L25" s="164"/>
      <c r="M25" s="190"/>
    </row>
    <row r="26" spans="1:13" ht="21.75" thickBot="1" x14ac:dyDescent="0.4">
      <c r="A26" s="63">
        <v>61</v>
      </c>
      <c r="B26" s="49" t="s">
        <v>48</v>
      </c>
      <c r="C26" s="44" t="s">
        <v>8</v>
      </c>
      <c r="D26" s="52" t="s">
        <v>23</v>
      </c>
      <c r="E26" s="52">
        <f>+'Votos por partido'!E50+'Votos por partido'!E51</f>
        <v>412</v>
      </c>
      <c r="F26" s="163"/>
      <c r="G26" s="163"/>
      <c r="H26" s="52"/>
      <c r="I26" s="163"/>
      <c r="J26" s="52"/>
      <c r="K26" s="178"/>
      <c r="L26" s="164"/>
      <c r="M26" s="190"/>
    </row>
    <row r="27" spans="1:13" ht="21" x14ac:dyDescent="0.35">
      <c r="A27" s="33">
        <v>22</v>
      </c>
      <c r="B27" s="33" t="s">
        <v>49</v>
      </c>
      <c r="C27" s="33" t="s">
        <v>8</v>
      </c>
      <c r="D27" s="33" t="s">
        <v>9</v>
      </c>
      <c r="E27" s="34">
        <f>+'Votos por partido'!E52</f>
        <v>1706</v>
      </c>
      <c r="F27" s="148">
        <f>+E27+E28+E29+E30</f>
        <v>5375</v>
      </c>
      <c r="G27" s="148">
        <v>7072</v>
      </c>
      <c r="H27" s="96">
        <f>+'2021'!B61</f>
        <v>2088</v>
      </c>
      <c r="I27" s="148">
        <f>SUM(H27:H30)</f>
        <v>4996</v>
      </c>
      <c r="J27" s="96">
        <f>+'2021'!D61</f>
        <v>2114</v>
      </c>
      <c r="K27" s="148">
        <f>SUM(J27:J30)</f>
        <v>4740</v>
      </c>
      <c r="L27" s="137">
        <f ca="1">SUM(L27:L30)</f>
        <v>0</v>
      </c>
      <c r="M27" s="190">
        <v>7</v>
      </c>
    </row>
    <row r="28" spans="1:13" ht="21" x14ac:dyDescent="0.35">
      <c r="A28" s="55">
        <v>22</v>
      </c>
      <c r="B28" s="38" t="s">
        <v>49</v>
      </c>
      <c r="C28" s="37"/>
      <c r="D28" s="37" t="s">
        <v>14</v>
      </c>
      <c r="E28" s="38">
        <f>+'Votos por partido'!E57</f>
        <v>3019</v>
      </c>
      <c r="F28" s="149"/>
      <c r="G28" s="149"/>
      <c r="H28" s="97">
        <f>+'2021'!B59</f>
        <v>2630</v>
      </c>
      <c r="I28" s="149"/>
      <c r="J28" s="97">
        <f>+'2021'!D59</f>
        <v>2626</v>
      </c>
      <c r="K28" s="149"/>
      <c r="L28" s="137"/>
      <c r="M28" s="190"/>
    </row>
    <row r="29" spans="1:13" ht="21" x14ac:dyDescent="0.35">
      <c r="A29" s="55">
        <v>22</v>
      </c>
      <c r="B29" s="38" t="s">
        <v>49</v>
      </c>
      <c r="C29" s="37"/>
      <c r="D29" s="38" t="s">
        <v>22</v>
      </c>
      <c r="E29" s="38">
        <f>+'Votos por partido'!E53+'Votos por partido'!E54+'Votos por partido'!E55+'Votos por partido'!E56</f>
        <v>364</v>
      </c>
      <c r="F29" s="149"/>
      <c r="G29" s="149"/>
      <c r="H29" s="38">
        <f>+'2021'!B63</f>
        <v>278</v>
      </c>
      <c r="I29" s="149"/>
      <c r="J29" s="38"/>
      <c r="K29" s="149"/>
      <c r="L29" s="137"/>
      <c r="M29" s="190"/>
    </row>
    <row r="30" spans="1:13" ht="21.75" thickBot="1" x14ac:dyDescent="0.4">
      <c r="A30" s="56">
        <v>22</v>
      </c>
      <c r="B30" s="38" t="s">
        <v>49</v>
      </c>
      <c r="C30" s="41"/>
      <c r="D30" s="42" t="s">
        <v>23</v>
      </c>
      <c r="E30" s="42">
        <f>+'Votos por partido'!E58+'Votos por partido'!E59</f>
        <v>286</v>
      </c>
      <c r="F30" s="150"/>
      <c r="G30" s="150"/>
      <c r="H30" s="42"/>
      <c r="I30" s="150"/>
      <c r="J30" s="42"/>
      <c r="K30" s="150"/>
      <c r="L30" s="137"/>
      <c r="M30" s="190"/>
    </row>
    <row r="31" spans="1:13" ht="21" x14ac:dyDescent="0.35">
      <c r="A31" s="60">
        <v>82</v>
      </c>
      <c r="B31" s="61" t="s">
        <v>57</v>
      </c>
      <c r="C31" s="45"/>
      <c r="D31" s="45" t="s">
        <v>9</v>
      </c>
      <c r="E31" s="61">
        <f>+'Votos por partido'!E60</f>
        <v>1930</v>
      </c>
      <c r="F31" s="161">
        <f>SUM(E31:E34)</f>
        <v>5026</v>
      </c>
      <c r="G31" s="161">
        <v>6960</v>
      </c>
      <c r="H31" s="94">
        <f>+'2021'!B79</f>
        <v>1623</v>
      </c>
      <c r="I31" s="161">
        <f>SUM(H31:H34)</f>
        <v>4623</v>
      </c>
      <c r="J31" s="94">
        <f>+'2021'!D79</f>
        <v>1630</v>
      </c>
      <c r="K31" s="177">
        <f>SUM(J31:J34)</f>
        <v>4618</v>
      </c>
      <c r="L31" s="164">
        <f ca="1">SUM(L31:L34)</f>
        <v>0</v>
      </c>
      <c r="M31" s="190">
        <v>8</v>
      </c>
    </row>
    <row r="32" spans="1:13" ht="21" x14ac:dyDescent="0.35">
      <c r="A32" s="62">
        <v>82</v>
      </c>
      <c r="B32" s="49" t="s">
        <v>57</v>
      </c>
      <c r="C32" s="44"/>
      <c r="D32" s="44" t="s">
        <v>14</v>
      </c>
      <c r="E32" s="49">
        <f>+'Votos por partido'!E65</f>
        <v>2386</v>
      </c>
      <c r="F32" s="162"/>
      <c r="G32" s="162"/>
      <c r="H32" s="95">
        <f>+'2021'!B77</f>
        <v>2746</v>
      </c>
      <c r="I32" s="162"/>
      <c r="J32" s="95">
        <f>+'2021'!D77</f>
        <v>2735</v>
      </c>
      <c r="K32" s="173"/>
      <c r="L32" s="164"/>
      <c r="M32" s="190"/>
    </row>
    <row r="33" spans="1:13" ht="21" x14ac:dyDescent="0.35">
      <c r="A33" s="62">
        <v>82</v>
      </c>
      <c r="B33" s="49" t="s">
        <v>57</v>
      </c>
      <c r="C33" s="44"/>
      <c r="D33" s="49" t="s">
        <v>22</v>
      </c>
      <c r="E33" s="49">
        <f>+'Votos por partido'!E61+'Votos por partido'!E62+'Votos por partido'!E63+'Votos por partido'!E64</f>
        <v>336</v>
      </c>
      <c r="F33" s="162"/>
      <c r="G33" s="162"/>
      <c r="H33" s="49">
        <f>+'2021'!B81</f>
        <v>254</v>
      </c>
      <c r="I33" s="162"/>
      <c r="J33" s="49">
        <f>+'2021'!D81</f>
        <v>253</v>
      </c>
      <c r="K33" s="173"/>
      <c r="L33" s="164"/>
      <c r="M33" s="190"/>
    </row>
    <row r="34" spans="1:13" ht="21.75" thickBot="1" x14ac:dyDescent="0.4">
      <c r="A34" s="63">
        <v>82</v>
      </c>
      <c r="B34" s="49" t="s">
        <v>57</v>
      </c>
      <c r="C34" s="51"/>
      <c r="D34" s="52" t="s">
        <v>23</v>
      </c>
      <c r="E34" s="52">
        <f>+'Votos por partido'!E66+'Votos por partido'!E67</f>
        <v>374</v>
      </c>
      <c r="F34" s="163"/>
      <c r="G34" s="163"/>
      <c r="H34" s="52"/>
      <c r="I34" s="163"/>
      <c r="J34" s="52"/>
      <c r="K34" s="178"/>
      <c r="L34" s="164"/>
      <c r="M34" s="190"/>
    </row>
    <row r="35" spans="1:13" ht="21" x14ac:dyDescent="0.35">
      <c r="A35" s="54">
        <v>48</v>
      </c>
      <c r="B35" s="34" t="s">
        <v>58</v>
      </c>
      <c r="C35" s="33"/>
      <c r="D35" s="33" t="s">
        <v>9</v>
      </c>
      <c r="E35" s="34">
        <f>+'Votos por partido'!E68</f>
        <v>1695</v>
      </c>
      <c r="F35" s="148">
        <f>SUM(E35:E38)</f>
        <v>3938</v>
      </c>
      <c r="G35" s="148">
        <v>5433</v>
      </c>
      <c r="H35" s="96">
        <f>+'2021'!B88</f>
        <v>1595</v>
      </c>
      <c r="I35" s="148">
        <f>SUM(H35:H38)</f>
        <v>3509</v>
      </c>
      <c r="J35" s="96">
        <f>+'2021'!D88</f>
        <v>1619</v>
      </c>
      <c r="K35" s="154">
        <f>SUM(J35:J38)</f>
        <v>3537</v>
      </c>
      <c r="L35" s="137">
        <f ca="1">SUM(L35:L38)</f>
        <v>0</v>
      </c>
      <c r="M35" s="190">
        <v>9</v>
      </c>
    </row>
    <row r="36" spans="1:13" ht="21" x14ac:dyDescent="0.35">
      <c r="A36" s="55">
        <v>48</v>
      </c>
      <c r="B36" s="38" t="s">
        <v>58</v>
      </c>
      <c r="C36" s="37"/>
      <c r="D36" s="37" t="s">
        <v>14</v>
      </c>
      <c r="E36" s="38">
        <f>+'Votos por partido'!E73</f>
        <v>1681</v>
      </c>
      <c r="F36" s="149"/>
      <c r="G36" s="149"/>
      <c r="H36" s="97">
        <f>+'2021'!B86</f>
        <v>1590</v>
      </c>
      <c r="I36" s="149"/>
      <c r="J36" s="97">
        <f>+'2021'!D86</f>
        <v>1616</v>
      </c>
      <c r="K36" s="155"/>
      <c r="L36" s="137"/>
      <c r="M36" s="190"/>
    </row>
    <row r="37" spans="1:13" ht="21" x14ac:dyDescent="0.35">
      <c r="A37" s="55">
        <v>48</v>
      </c>
      <c r="B37" s="38" t="s">
        <v>58</v>
      </c>
      <c r="C37" s="37"/>
      <c r="D37" s="38" t="s">
        <v>22</v>
      </c>
      <c r="E37" s="38">
        <f>+'Votos por partido'!E69+'Votos por partido'!E70+'Votos por partido'!E71+'Votos por partido'!E72</f>
        <v>296</v>
      </c>
      <c r="F37" s="149"/>
      <c r="G37" s="149"/>
      <c r="H37" s="38">
        <f>+'2021'!B90</f>
        <v>324</v>
      </c>
      <c r="I37" s="149"/>
      <c r="J37" s="38">
        <f>+'2021'!D90</f>
        <v>302</v>
      </c>
      <c r="K37" s="155"/>
      <c r="L37" s="137"/>
      <c r="M37" s="190"/>
    </row>
    <row r="38" spans="1:13" ht="21.75" thickBot="1" x14ac:dyDescent="0.4">
      <c r="A38" s="55">
        <v>48</v>
      </c>
      <c r="B38" s="38" t="s">
        <v>58</v>
      </c>
      <c r="C38" s="41"/>
      <c r="D38" s="42" t="s">
        <v>23</v>
      </c>
      <c r="E38" s="42">
        <f>+'Votos por partido'!E74+'Votos por partido'!E75</f>
        <v>266</v>
      </c>
      <c r="F38" s="150"/>
      <c r="G38" s="150"/>
      <c r="H38" s="42"/>
      <c r="I38" s="150"/>
      <c r="J38" s="42"/>
      <c r="K38" s="156"/>
      <c r="L38" s="137"/>
      <c r="M38" s="190"/>
    </row>
    <row r="39" spans="1:13" ht="21" x14ac:dyDescent="0.35">
      <c r="A39" s="60">
        <v>36</v>
      </c>
      <c r="B39" s="61" t="s">
        <v>59</v>
      </c>
      <c r="C39" s="45"/>
      <c r="D39" s="45" t="s">
        <v>9</v>
      </c>
      <c r="E39" s="61">
        <f>+'Votos por partido'!E76</f>
        <v>751</v>
      </c>
      <c r="F39" s="161">
        <f>SUM(E39:E42)</f>
        <v>2843</v>
      </c>
      <c r="G39" s="161">
        <v>4249</v>
      </c>
      <c r="H39" s="61">
        <f>+'2021'!B97</f>
        <v>639</v>
      </c>
      <c r="I39" s="161">
        <f>SUM(H39:H42)</f>
        <v>2437</v>
      </c>
      <c r="J39" s="61">
        <f>+'2021'!D97</f>
        <v>640</v>
      </c>
      <c r="K39" s="177">
        <f>SUM(J39:J42)</f>
        <v>2442</v>
      </c>
      <c r="L39" s="164">
        <f ca="1">SUM(L39:L42)</f>
        <v>0</v>
      </c>
      <c r="M39" s="190">
        <v>10</v>
      </c>
    </row>
    <row r="40" spans="1:13" ht="21" x14ac:dyDescent="0.35">
      <c r="A40" s="62">
        <v>36</v>
      </c>
      <c r="B40" s="49" t="s">
        <v>59</v>
      </c>
      <c r="C40" s="44"/>
      <c r="D40" s="44" t="s">
        <v>14</v>
      </c>
      <c r="E40" s="49">
        <f>+'Votos por partido'!E81</f>
        <v>1718</v>
      </c>
      <c r="F40" s="162"/>
      <c r="G40" s="162"/>
      <c r="H40" s="95">
        <f>+'2021'!B95</f>
        <v>1566</v>
      </c>
      <c r="I40" s="162"/>
      <c r="J40" s="95">
        <f>+'2021'!D95</f>
        <v>1570</v>
      </c>
      <c r="K40" s="173"/>
      <c r="L40" s="164"/>
      <c r="M40" s="190"/>
    </row>
    <row r="41" spans="1:13" ht="21" x14ac:dyDescent="0.35">
      <c r="A41" s="62">
        <v>36</v>
      </c>
      <c r="B41" s="49" t="s">
        <v>59</v>
      </c>
      <c r="C41" s="44"/>
      <c r="D41" s="49" t="s">
        <v>22</v>
      </c>
      <c r="E41" s="49">
        <f>+'Votos por partido'!E77+'Votos por partido'!E78+'Votos por partido'!E79+'Votos por partido'!E80</f>
        <v>178</v>
      </c>
      <c r="F41" s="162"/>
      <c r="G41" s="162"/>
      <c r="H41" s="49">
        <f>+'2021'!B99</f>
        <v>232</v>
      </c>
      <c r="I41" s="162"/>
      <c r="J41" s="49">
        <f>+'2021'!D99</f>
        <v>232</v>
      </c>
      <c r="K41" s="173"/>
      <c r="L41" s="164"/>
      <c r="M41" s="190"/>
    </row>
    <row r="42" spans="1:13" ht="21.75" thickBot="1" x14ac:dyDescent="0.4">
      <c r="A42" s="62">
        <v>36</v>
      </c>
      <c r="B42" s="49" t="s">
        <v>59</v>
      </c>
      <c r="C42" s="51"/>
      <c r="D42" s="52" t="s">
        <v>23</v>
      </c>
      <c r="E42" s="52">
        <f>+'Votos por partido'!E82+'Votos por partido'!E83</f>
        <v>196</v>
      </c>
      <c r="F42" s="163"/>
      <c r="G42" s="163"/>
      <c r="H42" s="52"/>
      <c r="I42" s="163"/>
      <c r="J42" s="52"/>
      <c r="K42" s="178"/>
      <c r="L42" s="164"/>
      <c r="M42" s="190"/>
    </row>
    <row r="43" spans="1:13" ht="21" x14ac:dyDescent="0.35">
      <c r="A43" s="54">
        <v>2</v>
      </c>
      <c r="B43" s="34" t="s">
        <v>60</v>
      </c>
      <c r="C43" s="33"/>
      <c r="D43" s="33" t="s">
        <v>9</v>
      </c>
      <c r="E43" s="34">
        <f>+'Votos por partido'!E84</f>
        <v>1490</v>
      </c>
      <c r="F43" s="148">
        <f>SUM(E43:E46)</f>
        <v>3666</v>
      </c>
      <c r="G43" s="148">
        <v>4555</v>
      </c>
      <c r="H43" s="96">
        <f>+'2021'!B106</f>
        <v>1319</v>
      </c>
      <c r="I43" s="148">
        <f>SUM(H43:H46)</f>
        <v>3227</v>
      </c>
      <c r="J43" s="96">
        <f>+'2021'!D106</f>
        <v>1329</v>
      </c>
      <c r="K43" s="154">
        <f>SUM(J43:J46)</f>
        <v>3233</v>
      </c>
      <c r="L43" s="137">
        <f ca="1">SUM(L43:L46)</f>
        <v>0</v>
      </c>
      <c r="M43" s="190">
        <v>11</v>
      </c>
    </row>
    <row r="44" spans="1:13" ht="21" x14ac:dyDescent="0.35">
      <c r="A44" s="55">
        <v>2</v>
      </c>
      <c r="B44" s="38" t="s">
        <v>60</v>
      </c>
      <c r="C44" s="37"/>
      <c r="D44" s="37" t="s">
        <v>14</v>
      </c>
      <c r="E44" s="38">
        <f>+'Votos por partido'!E89</f>
        <v>1846</v>
      </c>
      <c r="F44" s="149"/>
      <c r="G44" s="149"/>
      <c r="H44" s="97">
        <f>+'2021'!B104</f>
        <v>1708</v>
      </c>
      <c r="I44" s="149"/>
      <c r="J44" s="97">
        <f>+'2021'!D104</f>
        <v>1704</v>
      </c>
      <c r="K44" s="155"/>
      <c r="L44" s="137"/>
      <c r="M44" s="190"/>
    </row>
    <row r="45" spans="1:13" ht="21" x14ac:dyDescent="0.35">
      <c r="A45" s="55">
        <v>2</v>
      </c>
      <c r="B45" s="38" t="s">
        <v>60</v>
      </c>
      <c r="C45" s="37"/>
      <c r="D45" s="38" t="s">
        <v>22</v>
      </c>
      <c r="E45" s="38">
        <f>+'Votos por partido'!E85+'Votos por partido'!E86+'Votos por partido'!E87+'Votos por partido'!E88</f>
        <v>158</v>
      </c>
      <c r="F45" s="149"/>
      <c r="G45" s="149"/>
      <c r="H45" s="38">
        <f>+'2021'!B108</f>
        <v>200</v>
      </c>
      <c r="I45" s="149"/>
      <c r="J45" s="38">
        <f>+'2021'!D108</f>
        <v>200</v>
      </c>
      <c r="K45" s="155"/>
      <c r="L45" s="137"/>
      <c r="M45" s="190"/>
    </row>
    <row r="46" spans="1:13" ht="21.75" thickBot="1" x14ac:dyDescent="0.4">
      <c r="A46" s="55">
        <v>2</v>
      </c>
      <c r="B46" s="38" t="s">
        <v>60</v>
      </c>
      <c r="C46" s="41"/>
      <c r="D46" s="42" t="s">
        <v>23</v>
      </c>
      <c r="E46" s="42">
        <f>+'Votos por partido'!E90+'Votos por partido'!E91</f>
        <v>172</v>
      </c>
      <c r="F46" s="150"/>
      <c r="G46" s="150"/>
      <c r="H46" s="42"/>
      <c r="I46" s="150"/>
      <c r="J46" s="42"/>
      <c r="K46" s="156"/>
      <c r="L46" s="137"/>
      <c r="M46" s="190"/>
    </row>
    <row r="47" spans="1:13" ht="21" x14ac:dyDescent="0.35">
      <c r="A47" s="60">
        <v>81</v>
      </c>
      <c r="B47" s="64" t="s">
        <v>54</v>
      </c>
      <c r="C47" s="45"/>
      <c r="D47" s="45" t="s">
        <v>9</v>
      </c>
      <c r="E47" s="61">
        <f>+'Votos por partido'!E92</f>
        <v>1420</v>
      </c>
      <c r="F47" s="161">
        <f>SUM(E47:E50)</f>
        <v>3209</v>
      </c>
      <c r="G47" s="161">
        <v>4220</v>
      </c>
      <c r="H47" s="94">
        <f>+'2021'!B70</f>
        <v>1275</v>
      </c>
      <c r="I47" s="161">
        <f>SUM(H47:H50)</f>
        <v>2887</v>
      </c>
      <c r="J47" s="94">
        <f>+'2021'!D70+'2021'!D70</f>
        <v>2560</v>
      </c>
      <c r="K47" s="177">
        <f>SUM(J47:J50)</f>
        <v>4176</v>
      </c>
      <c r="L47" s="164">
        <f ca="1">SUM(L47:L50)</f>
        <v>0</v>
      </c>
      <c r="M47" s="190">
        <v>12</v>
      </c>
    </row>
    <row r="48" spans="1:13" ht="21" x14ac:dyDescent="0.35">
      <c r="A48" s="62">
        <v>81</v>
      </c>
      <c r="B48" s="49" t="s">
        <v>54</v>
      </c>
      <c r="C48" s="44"/>
      <c r="D48" s="44" t="s">
        <v>14</v>
      </c>
      <c r="E48" s="49">
        <f>+'Votos por partido'!E97</f>
        <v>1448</v>
      </c>
      <c r="F48" s="162"/>
      <c r="G48" s="162"/>
      <c r="H48" s="95">
        <f>+'2021'!B68</f>
        <v>1441</v>
      </c>
      <c r="I48" s="162"/>
      <c r="J48" s="49">
        <f>+'2021'!D68</f>
        <v>1443</v>
      </c>
      <c r="K48" s="173"/>
      <c r="L48" s="164"/>
      <c r="M48" s="190"/>
    </row>
    <row r="49" spans="1:13" ht="21" x14ac:dyDescent="0.35">
      <c r="A49" s="62">
        <v>81</v>
      </c>
      <c r="B49" s="49" t="s">
        <v>54</v>
      </c>
      <c r="C49" s="44"/>
      <c r="D49" s="49" t="s">
        <v>22</v>
      </c>
      <c r="E49" s="49">
        <f>+'Votos por partido'!E93+'Votos por partido'!E94+'Votos por partido'!E95+'Votos por partido'!E96</f>
        <v>158</v>
      </c>
      <c r="F49" s="162"/>
      <c r="G49" s="162"/>
      <c r="H49" s="49">
        <f>+'2021'!B72</f>
        <v>171</v>
      </c>
      <c r="I49" s="162"/>
      <c r="J49" s="49">
        <f>+'2021'!D72</f>
        <v>173</v>
      </c>
      <c r="K49" s="173"/>
      <c r="L49" s="164"/>
      <c r="M49" s="190"/>
    </row>
    <row r="50" spans="1:13" ht="21.75" thickBot="1" x14ac:dyDescent="0.4">
      <c r="A50" s="63">
        <v>81</v>
      </c>
      <c r="B50" s="49" t="s">
        <v>54</v>
      </c>
      <c r="C50" s="51"/>
      <c r="D50" s="52" t="s">
        <v>23</v>
      </c>
      <c r="E50" s="52">
        <f>+'Votos por partido'!E98+'Votos por partido'!E99</f>
        <v>183</v>
      </c>
      <c r="F50" s="163"/>
      <c r="G50" s="163"/>
      <c r="H50" s="52"/>
      <c r="I50" s="163"/>
      <c r="J50" s="52"/>
      <c r="K50" s="178"/>
      <c r="L50" s="164"/>
      <c r="M50" s="190"/>
    </row>
    <row r="51" spans="1:13" ht="21" x14ac:dyDescent="0.35">
      <c r="A51" s="54">
        <v>13</v>
      </c>
      <c r="B51" s="138" t="s">
        <v>61</v>
      </c>
      <c r="C51" s="139"/>
      <c r="D51" s="33" t="s">
        <v>9</v>
      </c>
      <c r="E51" s="34">
        <f>+'Votos por partido'!E100</f>
        <v>1374</v>
      </c>
      <c r="F51" s="148">
        <f>SUM(E51:E54)</f>
        <v>2931</v>
      </c>
      <c r="G51" s="148">
        <v>3818</v>
      </c>
      <c r="H51" s="96">
        <f>+'2021'!B115</f>
        <v>1179</v>
      </c>
      <c r="I51" s="148">
        <f>SUM(H51:H54)</f>
        <v>2725</v>
      </c>
      <c r="J51" s="96">
        <f>+'2021'!D115</f>
        <v>1187</v>
      </c>
      <c r="K51" s="154">
        <f>SUM(J51:J54)</f>
        <v>2743</v>
      </c>
      <c r="L51" s="137">
        <f ca="1">SUM(L51:L54)</f>
        <v>0</v>
      </c>
      <c r="M51" s="190">
        <v>13</v>
      </c>
    </row>
    <row r="52" spans="1:13" ht="21" x14ac:dyDescent="0.35">
      <c r="A52" s="55">
        <v>13</v>
      </c>
      <c r="B52" s="38" t="s">
        <v>61</v>
      </c>
      <c r="C52" s="37"/>
      <c r="D52" s="37" t="s">
        <v>14</v>
      </c>
      <c r="E52" s="38">
        <f>+'Votos por partido'!E105</f>
        <v>1331</v>
      </c>
      <c r="F52" s="149"/>
      <c r="G52" s="149"/>
      <c r="H52" s="97">
        <f>+'2021'!B113</f>
        <v>1372</v>
      </c>
      <c r="I52" s="149"/>
      <c r="J52" s="97">
        <f>+'2021'!D113</f>
        <v>1378</v>
      </c>
      <c r="K52" s="155"/>
      <c r="L52" s="137"/>
      <c r="M52" s="190"/>
    </row>
    <row r="53" spans="1:13" ht="21" x14ac:dyDescent="0.35">
      <c r="A53" s="55">
        <v>13</v>
      </c>
      <c r="B53" s="38" t="s">
        <v>61</v>
      </c>
      <c r="C53" s="37"/>
      <c r="D53" s="38" t="s">
        <v>22</v>
      </c>
      <c r="E53" s="38">
        <f>+'Votos por partido'!E101+'Votos por partido'!E102+'Votos por partido'!E103+'Votos por partido'!E104</f>
        <v>100</v>
      </c>
      <c r="F53" s="149"/>
      <c r="G53" s="149"/>
      <c r="H53" s="38">
        <f>+'2021'!B117</f>
        <v>174</v>
      </c>
      <c r="I53" s="149"/>
      <c r="J53" s="38">
        <f>+'2021'!D117</f>
        <v>178</v>
      </c>
      <c r="K53" s="155"/>
      <c r="L53" s="137"/>
      <c r="M53" s="190"/>
    </row>
    <row r="54" spans="1:13" ht="21.75" thickBot="1" x14ac:dyDescent="0.4">
      <c r="A54" s="55">
        <v>13</v>
      </c>
      <c r="B54" s="38" t="s">
        <v>61</v>
      </c>
      <c r="C54" s="41"/>
      <c r="D54" s="42" t="s">
        <v>23</v>
      </c>
      <c r="E54" s="42">
        <f>+'Votos por partido'!E106+'Votos por partido'!E107</f>
        <v>126</v>
      </c>
      <c r="F54" s="150"/>
      <c r="G54" s="150"/>
      <c r="H54" s="42"/>
      <c r="I54" s="150"/>
      <c r="J54" s="42"/>
      <c r="K54" s="156"/>
      <c r="L54" s="137"/>
      <c r="M54" s="190"/>
    </row>
    <row r="55" spans="1:13" ht="21" x14ac:dyDescent="0.35">
      <c r="A55" s="60">
        <v>65</v>
      </c>
      <c r="B55" s="61" t="s">
        <v>62</v>
      </c>
      <c r="C55" s="45"/>
      <c r="D55" s="45" t="s">
        <v>9</v>
      </c>
      <c r="E55" s="61">
        <f>+'Votos por partido'!E108</f>
        <v>899</v>
      </c>
      <c r="F55" s="161">
        <f>SUM(E55:E58)</f>
        <v>2528</v>
      </c>
      <c r="G55" s="161">
        <v>3453</v>
      </c>
      <c r="H55" s="61">
        <v>604</v>
      </c>
      <c r="I55" s="161">
        <f>SUM(H55:H58)</f>
        <v>2280</v>
      </c>
      <c r="J55" s="61">
        <v>611</v>
      </c>
      <c r="K55" s="177">
        <f>SUM(J55:J58)</f>
        <v>2287</v>
      </c>
      <c r="L55" s="164">
        <f ca="1">SUM(L55:L58)</f>
        <v>0</v>
      </c>
      <c r="M55" s="190">
        <v>14</v>
      </c>
    </row>
    <row r="56" spans="1:13" ht="21" x14ac:dyDescent="0.35">
      <c r="A56" s="62">
        <v>65</v>
      </c>
      <c r="B56" s="49" t="s">
        <v>62</v>
      </c>
      <c r="C56" s="44"/>
      <c r="D56" s="44" t="s">
        <v>14</v>
      </c>
      <c r="E56" s="49">
        <f>+'Votos por partido'!E113</f>
        <v>1346</v>
      </c>
      <c r="F56" s="162"/>
      <c r="G56" s="162"/>
      <c r="H56" s="49">
        <v>1481</v>
      </c>
      <c r="I56" s="162"/>
      <c r="J56" s="49">
        <v>1484</v>
      </c>
      <c r="K56" s="173"/>
      <c r="L56" s="164"/>
      <c r="M56" s="190"/>
    </row>
    <row r="57" spans="1:13" ht="21" x14ac:dyDescent="0.35">
      <c r="A57" s="62">
        <v>65</v>
      </c>
      <c r="B57" s="49" t="s">
        <v>62</v>
      </c>
      <c r="C57" s="44"/>
      <c r="D57" s="49" t="s">
        <v>22</v>
      </c>
      <c r="E57" s="49">
        <f>+'Votos por partido'!E109+'Votos por partido'!E110+'Votos por partido'!E111+'Votos por partido'!E112</f>
        <v>169</v>
      </c>
      <c r="F57" s="162"/>
      <c r="G57" s="162"/>
      <c r="H57" s="49">
        <f>104+46+45</f>
        <v>195</v>
      </c>
      <c r="I57" s="162"/>
      <c r="J57" s="49">
        <f>104+45+43</f>
        <v>192</v>
      </c>
      <c r="K57" s="173"/>
      <c r="L57" s="164"/>
      <c r="M57" s="190"/>
    </row>
    <row r="58" spans="1:13" ht="21.75" thickBot="1" x14ac:dyDescent="0.4">
      <c r="A58" s="63">
        <v>65</v>
      </c>
      <c r="B58" s="49" t="s">
        <v>62</v>
      </c>
      <c r="C58" s="51"/>
      <c r="D58" s="52" t="s">
        <v>23</v>
      </c>
      <c r="E58" s="52">
        <f>+'Votos por partido'!E114+'Votos por partido'!E115</f>
        <v>114</v>
      </c>
      <c r="F58" s="163"/>
      <c r="G58" s="163"/>
      <c r="H58" s="52"/>
      <c r="I58" s="163"/>
      <c r="J58" s="52"/>
      <c r="K58" s="178"/>
      <c r="L58" s="164"/>
      <c r="M58" s="190"/>
    </row>
    <row r="59" spans="1:13" ht="21" x14ac:dyDescent="0.35">
      <c r="A59" s="65"/>
      <c r="B59" s="65"/>
      <c r="C59" s="65"/>
      <c r="D59" s="65"/>
      <c r="E59" s="65"/>
      <c r="F59" s="66">
        <f>SUM(F3:F58)</f>
        <v>161329</v>
      </c>
      <c r="G59" s="66">
        <f>SUM(G3:G58)</f>
        <v>220582</v>
      </c>
      <c r="H59" s="67"/>
      <c r="I59" s="66">
        <f>SUM(I3:I58)</f>
        <v>147372</v>
      </c>
      <c r="J59" s="67"/>
      <c r="K59" s="66">
        <f>SUM(K3:K58)</f>
        <v>148672</v>
      </c>
      <c r="L59" s="68">
        <f>+L3+L7+L11+L15+L19</f>
        <v>179927</v>
      </c>
    </row>
    <row r="61" spans="1:13" ht="15.75" thickBot="1" x14ac:dyDescent="0.3"/>
    <row r="62" spans="1:13" ht="21" thickBot="1" x14ac:dyDescent="0.35">
      <c r="A62" s="140" t="s">
        <v>28</v>
      </c>
      <c r="B62" s="141"/>
      <c r="C62" s="141"/>
      <c r="D62" s="141"/>
      <c r="E62" s="141"/>
      <c r="F62" s="141"/>
      <c r="G62" s="142"/>
      <c r="H62" s="183" t="s">
        <v>29</v>
      </c>
      <c r="I62" s="183"/>
      <c r="J62" s="183"/>
      <c r="K62" s="183"/>
      <c r="L62" s="183"/>
    </row>
    <row r="63" spans="1:13" ht="21" thickBot="1" x14ac:dyDescent="0.35">
      <c r="A63" s="69" t="s">
        <v>0</v>
      </c>
      <c r="B63" s="70" t="s">
        <v>1</v>
      </c>
      <c r="C63" s="69" t="s">
        <v>2</v>
      </c>
      <c r="D63" s="69" t="s">
        <v>3</v>
      </c>
      <c r="E63" s="69" t="s">
        <v>4</v>
      </c>
      <c r="F63" s="69" t="s">
        <v>5</v>
      </c>
      <c r="G63" s="71" t="s">
        <v>6</v>
      </c>
      <c r="H63" s="180" t="s">
        <v>4</v>
      </c>
      <c r="I63" s="181"/>
      <c r="J63" s="182" t="s">
        <v>24</v>
      </c>
      <c r="K63" s="182"/>
      <c r="L63" s="82" t="s">
        <v>43</v>
      </c>
    </row>
    <row r="64" spans="1:13" ht="21" x14ac:dyDescent="0.35">
      <c r="A64" s="31" t="s">
        <v>7</v>
      </c>
      <c r="B64" s="32" t="s">
        <v>1</v>
      </c>
      <c r="C64" s="33" t="s">
        <v>8</v>
      </c>
      <c r="D64" s="33" t="s">
        <v>9</v>
      </c>
      <c r="E64" s="33">
        <f>+'Votos por partido'!M4</f>
        <v>29146</v>
      </c>
      <c r="F64" s="143">
        <f>+E64+E65++E66+E67</f>
        <v>68189</v>
      </c>
      <c r="G64" s="143">
        <f>+'Votos por partido'!O4</f>
        <v>90619</v>
      </c>
      <c r="H64" s="137">
        <f>+'Votos por partido'!U4</f>
        <v>33285</v>
      </c>
      <c r="I64" s="137"/>
      <c r="J64" s="166">
        <f>+H64+H65+H66+H67</f>
        <v>65565</v>
      </c>
      <c r="K64" s="167"/>
      <c r="L64" s="159">
        <v>90434</v>
      </c>
    </row>
    <row r="65" spans="1:12" ht="21" x14ac:dyDescent="0.35">
      <c r="A65" s="35" t="s">
        <v>7</v>
      </c>
      <c r="B65" s="36" t="s">
        <v>1</v>
      </c>
      <c r="C65" s="37" t="s">
        <v>8</v>
      </c>
      <c r="D65" s="37" t="s">
        <v>14</v>
      </c>
      <c r="E65" s="37">
        <f>+'Votos por partido'!M9</f>
        <v>28965</v>
      </c>
      <c r="F65" s="137"/>
      <c r="G65" s="137"/>
      <c r="H65" s="137">
        <f>+'Votos por partido'!U5</f>
        <v>16400</v>
      </c>
      <c r="I65" s="137"/>
      <c r="J65" s="155"/>
      <c r="K65" s="168"/>
      <c r="L65" s="159"/>
    </row>
    <row r="66" spans="1:12" ht="21" x14ac:dyDescent="0.35">
      <c r="A66" s="35" t="s">
        <v>7</v>
      </c>
      <c r="B66" s="36" t="s">
        <v>1</v>
      </c>
      <c r="C66" s="37" t="s">
        <v>8</v>
      </c>
      <c r="D66" s="38" t="s">
        <v>22</v>
      </c>
      <c r="E66" s="38">
        <f>+'Votos por partido'!M5+'Votos por partido'!M6+'Votos por partido'!M7+'Votos por partido'!M8</f>
        <v>8080</v>
      </c>
      <c r="F66" s="137"/>
      <c r="G66" s="137"/>
      <c r="H66" s="137">
        <f>+'Votos por partido'!U6+'Votos por partido'!U7+'Votos por partido'!U9+'Votos por partido'!U10+'Votos por partido'!U12+'Votos por partido'!U13</f>
        <v>13373</v>
      </c>
      <c r="I66" s="137"/>
      <c r="J66" s="155"/>
      <c r="K66" s="168"/>
      <c r="L66" s="159"/>
    </row>
    <row r="67" spans="1:12" ht="21.75" thickBot="1" x14ac:dyDescent="0.4">
      <c r="A67" s="39" t="s">
        <v>7</v>
      </c>
      <c r="B67" s="40" t="s">
        <v>1</v>
      </c>
      <c r="C67" s="41" t="s">
        <v>8</v>
      </c>
      <c r="D67" s="42" t="s">
        <v>23</v>
      </c>
      <c r="E67" s="42">
        <f>+'Votos por partido'!M10+'Votos por partido'!M11</f>
        <v>1998</v>
      </c>
      <c r="F67" s="144"/>
      <c r="G67" s="144"/>
      <c r="H67" s="137">
        <f>+'Votos por partido'!U8+'Votos por partido'!U11</f>
        <v>2507</v>
      </c>
      <c r="I67" s="137"/>
      <c r="J67" s="169"/>
      <c r="K67" s="170"/>
      <c r="L67" s="159"/>
    </row>
    <row r="68" spans="1:12" ht="21" x14ac:dyDescent="0.35">
      <c r="A68" s="43">
        <v>58</v>
      </c>
      <c r="B68" s="83" t="s">
        <v>44</v>
      </c>
      <c r="C68" s="45" t="s">
        <v>8</v>
      </c>
      <c r="D68" s="45" t="s">
        <v>9</v>
      </c>
      <c r="E68" s="45">
        <f>+'Votos por partido'!M12</f>
        <v>16967</v>
      </c>
      <c r="F68" s="158">
        <f>+E68+E69+E70+E71</f>
        <v>39754</v>
      </c>
      <c r="G68" s="158">
        <f>+'Votos por partido'!O12</f>
        <v>50143</v>
      </c>
      <c r="H68" s="164">
        <f>+'Votos por partido'!U14</f>
        <v>18299</v>
      </c>
      <c r="I68" s="164"/>
      <c r="J68" s="171">
        <f>+H68+H69+H70+H71</f>
        <v>38282</v>
      </c>
      <c r="K68" s="172"/>
      <c r="L68" s="159">
        <v>50004</v>
      </c>
    </row>
    <row r="69" spans="1:12" ht="21" x14ac:dyDescent="0.35">
      <c r="A69" s="47">
        <v>58</v>
      </c>
      <c r="B69" s="44" t="s">
        <v>44</v>
      </c>
      <c r="C69" s="44" t="s">
        <v>8</v>
      </c>
      <c r="D69" s="44" t="s">
        <v>14</v>
      </c>
      <c r="E69" s="44">
        <f>+'Votos por partido'!M17</f>
        <v>16986</v>
      </c>
      <c r="F69" s="159"/>
      <c r="G69" s="159"/>
      <c r="H69" s="164">
        <f>+'Votos por partido'!U15</f>
        <v>11117</v>
      </c>
      <c r="I69" s="164"/>
      <c r="J69" s="173"/>
      <c r="K69" s="174"/>
      <c r="L69" s="159"/>
    </row>
    <row r="70" spans="1:12" ht="21" x14ac:dyDescent="0.35">
      <c r="A70" s="47">
        <v>58</v>
      </c>
      <c r="B70" s="44" t="s">
        <v>44</v>
      </c>
      <c r="C70" s="44" t="s">
        <v>8</v>
      </c>
      <c r="D70" s="49" t="s">
        <v>22</v>
      </c>
      <c r="E70" s="49">
        <f>+'Votos por partido'!M13+'Votos por partido'!M14+'Votos por partido'!M15+'Votos por partido'!M16</f>
        <v>4703</v>
      </c>
      <c r="F70" s="159"/>
      <c r="G70" s="159"/>
      <c r="H70" s="164">
        <f>+'Votos por partido'!U16+'Votos por partido'!U18+'Votos por partido'!U19+'Votos por partido'!U20+'Votos por partido'!U21+'Votos por partido'!U23</f>
        <v>6349</v>
      </c>
      <c r="I70" s="164"/>
      <c r="J70" s="173"/>
      <c r="K70" s="174"/>
      <c r="L70" s="159"/>
    </row>
    <row r="71" spans="1:12" ht="21.75" thickBot="1" x14ac:dyDescent="0.4">
      <c r="A71" s="50">
        <v>58</v>
      </c>
      <c r="B71" s="84" t="s">
        <v>44</v>
      </c>
      <c r="C71" s="51" t="s">
        <v>8</v>
      </c>
      <c r="D71" s="52" t="s">
        <v>23</v>
      </c>
      <c r="E71" s="52">
        <f>+'Votos por partido'!M18+'Votos por partido'!M19</f>
        <v>1098</v>
      </c>
      <c r="F71" s="160"/>
      <c r="G71" s="160"/>
      <c r="H71" s="164">
        <f>+'Votos por partido'!U17+'Votos por partido'!U22</f>
        <v>2517</v>
      </c>
      <c r="I71" s="164"/>
      <c r="J71" s="175"/>
      <c r="K71" s="176"/>
      <c r="L71" s="159"/>
    </row>
    <row r="72" spans="1:12" ht="21" x14ac:dyDescent="0.35">
      <c r="A72" s="54">
        <v>93</v>
      </c>
      <c r="B72" s="33" t="s">
        <v>45</v>
      </c>
      <c r="C72" s="33" t="s">
        <v>8</v>
      </c>
      <c r="D72" s="33" t="s">
        <v>9</v>
      </c>
      <c r="E72" s="34">
        <f>+'Votos por partido'!M20</f>
        <v>3096</v>
      </c>
      <c r="F72" s="148">
        <f>+E72+E73+E74+E75</f>
        <v>8584</v>
      </c>
      <c r="G72" s="148">
        <f>+'Votos por partido'!O20</f>
        <v>11653</v>
      </c>
      <c r="H72" s="137">
        <f>+'Votos por partido'!U24</f>
        <v>3191</v>
      </c>
      <c r="I72" s="137"/>
      <c r="J72" s="166">
        <f>+H72+H73+H74+H75</f>
        <v>8822</v>
      </c>
      <c r="K72" s="167"/>
      <c r="L72" s="159">
        <v>11574</v>
      </c>
    </row>
    <row r="73" spans="1:12" ht="21" x14ac:dyDescent="0.35">
      <c r="A73" s="55">
        <v>93</v>
      </c>
      <c r="B73" s="37" t="s">
        <v>45</v>
      </c>
      <c r="C73" s="37" t="s">
        <v>8</v>
      </c>
      <c r="D73" s="37" t="s">
        <v>14</v>
      </c>
      <c r="E73" s="38">
        <f>+'Votos por partido'!M25</f>
        <v>4527</v>
      </c>
      <c r="F73" s="149"/>
      <c r="G73" s="149"/>
      <c r="H73" s="137">
        <f>+'Votos por partido'!U25</f>
        <v>2793</v>
      </c>
      <c r="I73" s="137"/>
      <c r="J73" s="155"/>
      <c r="K73" s="168"/>
      <c r="L73" s="159"/>
    </row>
    <row r="74" spans="1:12" ht="21" x14ac:dyDescent="0.35">
      <c r="A74" s="55">
        <v>93</v>
      </c>
      <c r="B74" s="37" t="s">
        <v>45</v>
      </c>
      <c r="C74" s="37" t="s">
        <v>8</v>
      </c>
      <c r="D74" s="38" t="s">
        <v>22</v>
      </c>
      <c r="E74" s="38">
        <f>+'Votos por partido'!M21+'Votos por partido'!M22+'Votos por partido'!M23+'Votos por partido'!M24</f>
        <v>610</v>
      </c>
      <c r="F74" s="149"/>
      <c r="G74" s="149"/>
      <c r="H74" s="137">
        <f>+'Votos por partido'!U27+'Votos por partido'!U28+'Votos por partido'!U29+'Votos por partido'!U30+'Votos por partido'!U32+'Votos por partido'!U33</f>
        <v>1221</v>
      </c>
      <c r="I74" s="137"/>
      <c r="J74" s="155"/>
      <c r="K74" s="168"/>
      <c r="L74" s="159"/>
    </row>
    <row r="75" spans="1:12" ht="21.75" thickBot="1" x14ac:dyDescent="0.4">
      <c r="A75" s="56">
        <v>93</v>
      </c>
      <c r="B75" s="37" t="s">
        <v>45</v>
      </c>
      <c r="C75" s="41" t="s">
        <v>8</v>
      </c>
      <c r="D75" s="42" t="s">
        <v>23</v>
      </c>
      <c r="E75" s="42">
        <f>+'Votos por partido'!M26+'Votos por partido'!M27</f>
        <v>351</v>
      </c>
      <c r="F75" s="150"/>
      <c r="G75" s="150"/>
      <c r="H75" s="137">
        <f>+'Votos por partido'!U26+'Votos por partido'!U31</f>
        <v>1617</v>
      </c>
      <c r="I75" s="137"/>
      <c r="J75" s="169"/>
      <c r="K75" s="170"/>
      <c r="L75" s="159"/>
    </row>
    <row r="76" spans="1:12" ht="21" x14ac:dyDescent="0.35">
      <c r="A76" s="57">
        <v>27</v>
      </c>
      <c r="B76" s="45" t="s">
        <v>46</v>
      </c>
      <c r="C76" s="45" t="s">
        <v>8</v>
      </c>
      <c r="D76" s="45" t="s">
        <v>9</v>
      </c>
      <c r="E76" s="46">
        <f>+'Votos por partido'!M28</f>
        <v>3101</v>
      </c>
      <c r="F76" s="145">
        <f>+E76+E77+E78+E79</f>
        <v>6766</v>
      </c>
      <c r="G76" s="145">
        <f>+'Votos por partido'!O28</f>
        <v>8766</v>
      </c>
      <c r="H76" s="164">
        <f>+'Votos por partido'!U34</f>
        <v>2903</v>
      </c>
      <c r="I76" s="164"/>
      <c r="J76" s="171">
        <f>+H76+H77+H78+H79</f>
        <v>6934</v>
      </c>
      <c r="K76" s="172"/>
      <c r="L76" s="159">
        <v>8731</v>
      </c>
    </row>
    <row r="77" spans="1:12" ht="21" x14ac:dyDescent="0.35">
      <c r="A77" s="58">
        <v>27</v>
      </c>
      <c r="B77" s="44" t="s">
        <v>46</v>
      </c>
      <c r="C77" s="44" t="s">
        <v>8</v>
      </c>
      <c r="D77" s="44" t="s">
        <v>14</v>
      </c>
      <c r="E77" s="48">
        <f>+'Votos por partido'!M33</f>
        <v>3052</v>
      </c>
      <c r="F77" s="146"/>
      <c r="G77" s="146"/>
      <c r="H77" s="164">
        <f>+'Votos por partido'!U35</f>
        <v>2680</v>
      </c>
      <c r="I77" s="164"/>
      <c r="J77" s="173"/>
      <c r="K77" s="174"/>
      <c r="L77" s="159"/>
    </row>
    <row r="78" spans="1:12" ht="21" x14ac:dyDescent="0.35">
      <c r="A78" s="58">
        <v>27</v>
      </c>
      <c r="B78" s="44" t="s">
        <v>46</v>
      </c>
      <c r="C78" s="44" t="s">
        <v>8</v>
      </c>
      <c r="D78" s="49" t="s">
        <v>22</v>
      </c>
      <c r="E78" s="48">
        <f>+'Votos por partido'!M29+'Votos por partido'!M30+'Votos por partido'!M31+'Votos por partido'!M32</f>
        <v>388</v>
      </c>
      <c r="F78" s="146"/>
      <c r="G78" s="146"/>
      <c r="H78" s="164">
        <f>+'Votos por partido'!U36+'Votos por partido'!U37+'Votos por partido'!U38+'Votos por partido'!U41+'Votos por partido'!U42+'Votos por partido'!U43</f>
        <v>1055</v>
      </c>
      <c r="I78" s="164"/>
      <c r="J78" s="173"/>
      <c r="K78" s="174"/>
      <c r="L78" s="159"/>
    </row>
    <row r="79" spans="1:12" ht="21.75" thickBot="1" x14ac:dyDescent="0.4">
      <c r="A79" s="59">
        <v>27</v>
      </c>
      <c r="B79" s="44" t="s">
        <v>46</v>
      </c>
      <c r="C79" s="51" t="s">
        <v>8</v>
      </c>
      <c r="D79" s="52" t="s">
        <v>23</v>
      </c>
      <c r="E79" s="53">
        <f>+'Votos por partido'!M34+'Votos por partido'!M35</f>
        <v>225</v>
      </c>
      <c r="F79" s="147"/>
      <c r="G79" s="147"/>
      <c r="H79" s="164">
        <f>+'Votos por partido'!U39+'Votos por partido'!U40</f>
        <v>296</v>
      </c>
      <c r="I79" s="164"/>
      <c r="J79" s="175"/>
      <c r="K79" s="176"/>
      <c r="L79" s="159"/>
    </row>
    <row r="80" spans="1:12" ht="21" x14ac:dyDescent="0.35">
      <c r="A80" s="54">
        <v>86</v>
      </c>
      <c r="B80" s="34" t="s">
        <v>27</v>
      </c>
      <c r="C80" s="33" t="s">
        <v>8</v>
      </c>
      <c r="D80" s="33" t="s">
        <v>9</v>
      </c>
      <c r="E80" s="34">
        <f>+'Votos por partido'!M36</f>
        <v>4385</v>
      </c>
      <c r="F80" s="148">
        <f>+E80+E81+E82+E83</f>
        <v>9390</v>
      </c>
      <c r="G80" s="148">
        <f>+'Votos por partido'!O36</f>
        <v>12268</v>
      </c>
      <c r="H80" s="137">
        <f>+'Votos por partido'!U44</f>
        <v>5019</v>
      </c>
      <c r="I80" s="137"/>
      <c r="J80" s="166">
        <f>+H80+H81+H82+H83</f>
        <v>9440</v>
      </c>
      <c r="K80" s="167"/>
      <c r="L80" s="159">
        <v>12746</v>
      </c>
    </row>
    <row r="81" spans="1:12" ht="21" x14ac:dyDescent="0.35">
      <c r="A81" s="55">
        <v>86</v>
      </c>
      <c r="B81" s="38" t="s">
        <v>27</v>
      </c>
      <c r="C81" s="37" t="s">
        <v>8</v>
      </c>
      <c r="D81" s="37" t="s">
        <v>14</v>
      </c>
      <c r="E81" s="38">
        <f>+'Votos por partido'!M41</f>
        <v>3908</v>
      </c>
      <c r="F81" s="149"/>
      <c r="G81" s="149"/>
      <c r="H81" s="137">
        <f>+'Votos por partido'!U45</f>
        <v>2167</v>
      </c>
      <c r="I81" s="137"/>
      <c r="J81" s="155"/>
      <c r="K81" s="168"/>
      <c r="L81" s="159"/>
    </row>
    <row r="82" spans="1:12" ht="21" x14ac:dyDescent="0.35">
      <c r="A82" s="55">
        <v>86</v>
      </c>
      <c r="B82" s="38" t="s">
        <v>27</v>
      </c>
      <c r="C82" s="37" t="s">
        <v>8</v>
      </c>
      <c r="D82" s="38" t="s">
        <v>22</v>
      </c>
      <c r="E82" s="38">
        <f>+'Votos por partido'!M37+'Votos por partido'!M38+'Votos por partido'!M39+'Votos por partido'!M40</f>
        <v>838</v>
      </c>
      <c r="F82" s="149"/>
      <c r="G82" s="149"/>
      <c r="H82" s="137">
        <f>+'Votos por partido'!U46+'Votos por partido'!U47+'Votos por partido'!U49+'Votos por partido'!U50+'Votos por partido'!U52+'Votos por partido'!U53</f>
        <v>1914</v>
      </c>
      <c r="I82" s="137"/>
      <c r="J82" s="155"/>
      <c r="K82" s="168"/>
      <c r="L82" s="159"/>
    </row>
    <row r="83" spans="1:12" ht="21.75" thickBot="1" x14ac:dyDescent="0.4">
      <c r="A83" s="56">
        <v>86</v>
      </c>
      <c r="B83" s="42" t="s">
        <v>27</v>
      </c>
      <c r="C83" s="41" t="s">
        <v>8</v>
      </c>
      <c r="D83" s="42" t="s">
        <v>23</v>
      </c>
      <c r="E83" s="42">
        <f>+'Votos por partido'!M42+'Votos por partido'!M43</f>
        <v>259</v>
      </c>
      <c r="F83" s="150"/>
      <c r="G83" s="150"/>
      <c r="H83" s="179">
        <f>+'Votos por partido'!U48+'Votos por partido'!U51</f>
        <v>340</v>
      </c>
      <c r="I83" s="179"/>
      <c r="J83" s="155"/>
      <c r="K83" s="168"/>
      <c r="L83" s="159"/>
    </row>
    <row r="84" spans="1:12" ht="21" x14ac:dyDescent="0.35">
      <c r="A84" s="60"/>
      <c r="B84" s="45" t="s">
        <v>94</v>
      </c>
      <c r="C84" s="45"/>
      <c r="D84" s="45" t="s">
        <v>9</v>
      </c>
      <c r="E84" s="61">
        <f>+'Votos por partido'!M44</f>
        <v>2917</v>
      </c>
      <c r="F84" s="145">
        <f>+E84+E85+E86+E87</f>
        <v>6015</v>
      </c>
      <c r="G84" s="161">
        <v>7072</v>
      </c>
      <c r="H84" s="164">
        <f>+'Votos por partido'!U54</f>
        <v>2913</v>
      </c>
      <c r="I84" s="164"/>
      <c r="J84" s="171">
        <f>SUM(H84:I87)</f>
        <v>6036</v>
      </c>
      <c r="K84" s="172"/>
      <c r="L84" s="164"/>
    </row>
    <row r="85" spans="1:12" ht="21" x14ac:dyDescent="0.35">
      <c r="A85" s="62"/>
      <c r="B85" s="44" t="s">
        <v>94</v>
      </c>
      <c r="C85" s="44"/>
      <c r="D85" s="44" t="s">
        <v>14</v>
      </c>
      <c r="E85" s="49">
        <f>+'Votos por partido'!M49</f>
        <v>2391</v>
      </c>
      <c r="F85" s="146"/>
      <c r="G85" s="162"/>
      <c r="H85" s="164">
        <f>+'Votos por partido'!U56</f>
        <v>1051</v>
      </c>
      <c r="I85" s="164"/>
      <c r="J85" s="173"/>
      <c r="K85" s="174"/>
      <c r="L85" s="164"/>
    </row>
    <row r="86" spans="1:12" ht="21" x14ac:dyDescent="0.35">
      <c r="A86" s="62"/>
      <c r="B86" s="44" t="s">
        <v>94</v>
      </c>
      <c r="C86" s="44"/>
      <c r="D86" s="49" t="s">
        <v>22</v>
      </c>
      <c r="E86" s="49">
        <f>+'Votos por partido'!M45+'Votos por partido'!M46+'Votos por partido'!M47+'Votos por partido'!M48</f>
        <v>496</v>
      </c>
      <c r="F86" s="146"/>
      <c r="G86" s="162"/>
      <c r="H86" s="164">
        <f>+'Votos por partido'!U57+'Votos por partido'!U58+'Votos por partido'!U60+'Votos por partido'!U61+'Votos por partido'!U62+'Votos por partido'!U63</f>
        <v>466</v>
      </c>
      <c r="I86" s="164"/>
      <c r="J86" s="173"/>
      <c r="K86" s="174"/>
      <c r="L86" s="164"/>
    </row>
    <row r="87" spans="1:12" ht="21" x14ac:dyDescent="0.35">
      <c r="A87" s="102"/>
      <c r="B87" s="103" t="s">
        <v>94</v>
      </c>
      <c r="C87" s="103"/>
      <c r="D87" s="104" t="s">
        <v>23</v>
      </c>
      <c r="E87" s="104">
        <f>+'Votos por partido'!M50+'Votos por partido'!M51</f>
        <v>211</v>
      </c>
      <c r="F87" s="146"/>
      <c r="G87" s="162"/>
      <c r="H87" s="191">
        <f>+'Votos por partido'!U55+'Votos por partido'!U59</f>
        <v>1606</v>
      </c>
      <c r="I87" s="191"/>
      <c r="J87" s="173"/>
      <c r="K87" s="174"/>
      <c r="L87" s="191"/>
    </row>
    <row r="88" spans="1:12" ht="21" x14ac:dyDescent="0.35">
      <c r="A88" s="38">
        <v>48</v>
      </c>
      <c r="B88" s="38" t="s">
        <v>58</v>
      </c>
      <c r="C88" s="37"/>
      <c r="D88" s="37" t="s">
        <v>9</v>
      </c>
      <c r="E88" s="38">
        <f>+'Votos por partido'!M60</f>
        <v>1912</v>
      </c>
      <c r="F88" s="137">
        <f>+E88+E89+E90+E91</f>
        <v>4096</v>
      </c>
      <c r="G88" s="137">
        <v>5433</v>
      </c>
      <c r="H88" s="137">
        <f>+'Votos por partido'!U84</f>
        <v>2268</v>
      </c>
      <c r="I88" s="137"/>
      <c r="J88" s="137">
        <f>+H88+H89+H90+H91</f>
        <v>4524</v>
      </c>
      <c r="K88" s="137"/>
      <c r="L88" s="159"/>
    </row>
    <row r="89" spans="1:12" ht="21" x14ac:dyDescent="0.35">
      <c r="A89" s="38">
        <v>48</v>
      </c>
      <c r="B89" s="38" t="s">
        <v>58</v>
      </c>
      <c r="C89" s="37"/>
      <c r="D89" s="37" t="s">
        <v>14</v>
      </c>
      <c r="E89" s="38">
        <f>+'Votos por partido'!M65</f>
        <v>1844</v>
      </c>
      <c r="F89" s="137"/>
      <c r="G89" s="137"/>
      <c r="H89" s="137">
        <f>+'Votos por partido'!U85</f>
        <v>954</v>
      </c>
      <c r="I89" s="137"/>
      <c r="J89" s="137"/>
      <c r="K89" s="137"/>
      <c r="L89" s="159"/>
    </row>
    <row r="90" spans="1:12" ht="21" x14ac:dyDescent="0.35">
      <c r="A90" s="38">
        <v>48</v>
      </c>
      <c r="B90" s="38" t="s">
        <v>58</v>
      </c>
      <c r="C90" s="37"/>
      <c r="D90" s="38" t="s">
        <v>22</v>
      </c>
      <c r="E90" s="38">
        <f>+'Votos por partido'!M61+'Votos por partido'!M62++'Votos por partido'!M63+'Votos por partido'!M64</f>
        <v>210</v>
      </c>
      <c r="F90" s="137"/>
      <c r="G90" s="137"/>
      <c r="H90" s="137">
        <f>+'Votos por partido'!U87+'Votos por partido'!U88+'Votos por partido'!U89+'Votos por partido'!U91+'Votos por partido'!U92+'Votos por partido'!U93</f>
        <v>431</v>
      </c>
      <c r="I90" s="137"/>
      <c r="J90" s="137"/>
      <c r="K90" s="137"/>
      <c r="L90" s="159"/>
    </row>
    <row r="91" spans="1:12" ht="21" x14ac:dyDescent="0.35">
      <c r="A91" s="38">
        <v>48</v>
      </c>
      <c r="B91" s="38" t="s">
        <v>58</v>
      </c>
      <c r="C91" s="37"/>
      <c r="D91" s="38" t="s">
        <v>23</v>
      </c>
      <c r="E91" s="38">
        <v>130</v>
      </c>
      <c r="F91" s="137"/>
      <c r="G91" s="137"/>
      <c r="H91" s="137">
        <f>+'Votos por partido'!U86+'Votos por partido'!U90</f>
        <v>871</v>
      </c>
      <c r="I91" s="137"/>
      <c r="J91" s="137"/>
      <c r="K91" s="137"/>
      <c r="L91" s="159"/>
    </row>
    <row r="92" spans="1:12" ht="21" x14ac:dyDescent="0.35">
      <c r="A92" s="105">
        <v>22</v>
      </c>
      <c r="B92" s="44" t="s">
        <v>95</v>
      </c>
      <c r="C92" s="44"/>
      <c r="D92" s="84" t="s">
        <v>9</v>
      </c>
      <c r="E92" s="106">
        <f>+'Votos por partido'!M52</f>
        <v>2257</v>
      </c>
      <c r="F92" s="162">
        <f>+E92+E93+E94+E95</f>
        <v>5567</v>
      </c>
      <c r="G92" s="162">
        <v>5433</v>
      </c>
      <c r="H92" s="192">
        <f>+'Votos por partido'!U64</f>
        <v>3109</v>
      </c>
      <c r="I92" s="192"/>
      <c r="J92" s="173">
        <f>SUM(H92:I95)</f>
        <v>5843</v>
      </c>
      <c r="K92" s="174"/>
      <c r="L92" s="192"/>
    </row>
    <row r="93" spans="1:12" ht="21" x14ac:dyDescent="0.35">
      <c r="A93" s="62">
        <v>22</v>
      </c>
      <c r="B93" s="44" t="s">
        <v>95</v>
      </c>
      <c r="C93" s="44"/>
      <c r="D93" s="44" t="s">
        <v>14</v>
      </c>
      <c r="E93" s="49">
        <f>+'Votos por partido'!M57</f>
        <v>2793</v>
      </c>
      <c r="F93" s="162"/>
      <c r="G93" s="162"/>
      <c r="H93" s="164">
        <f>+'Votos por partido'!U65</f>
        <v>1590</v>
      </c>
      <c r="I93" s="164"/>
      <c r="J93" s="173"/>
      <c r="K93" s="174"/>
      <c r="L93" s="164"/>
    </row>
    <row r="94" spans="1:12" ht="21" x14ac:dyDescent="0.35">
      <c r="A94" s="62">
        <v>22</v>
      </c>
      <c r="B94" s="44" t="s">
        <v>95</v>
      </c>
      <c r="C94" s="44"/>
      <c r="D94" s="49" t="s">
        <v>22</v>
      </c>
      <c r="E94" s="49">
        <f>+'Votos por partido'!M53+'Votos por partido'!M54+'Votos por partido'!M55+'Votos por partido'!M56</f>
        <v>378</v>
      </c>
      <c r="F94" s="162"/>
      <c r="G94" s="162"/>
      <c r="H94" s="164">
        <f>+'Votos por partido'!U67+'Votos por partido'!U68+'Votos por partido'!U70+'Votos por partido'!U71+'Votos por partido'!U72+'Votos por partido'!U73</f>
        <v>401</v>
      </c>
      <c r="I94" s="164"/>
      <c r="J94" s="173"/>
      <c r="K94" s="174"/>
      <c r="L94" s="164"/>
    </row>
    <row r="95" spans="1:12" ht="21.75" thickBot="1" x14ac:dyDescent="0.4">
      <c r="A95" s="63">
        <v>22</v>
      </c>
      <c r="B95" s="44" t="s">
        <v>95</v>
      </c>
      <c r="C95" s="44"/>
      <c r="D95" s="52" t="s">
        <v>23</v>
      </c>
      <c r="E95" s="52">
        <f>+'Votos por partido'!M58+'Votos por partido'!M59</f>
        <v>139</v>
      </c>
      <c r="F95" s="163"/>
      <c r="G95" s="163"/>
      <c r="H95" s="164">
        <f>+'Votos por partido'!U66+'Votos por partido'!U69</f>
        <v>743</v>
      </c>
      <c r="I95" s="164"/>
      <c r="J95" s="175"/>
      <c r="K95" s="176"/>
      <c r="L95" s="164"/>
    </row>
    <row r="96" spans="1:12" ht="21" x14ac:dyDescent="0.35">
      <c r="A96" s="54">
        <v>82</v>
      </c>
      <c r="B96" s="37" t="s">
        <v>57</v>
      </c>
      <c r="C96" s="37"/>
      <c r="D96" s="33" t="s">
        <v>9</v>
      </c>
      <c r="E96" s="34">
        <f>+'Votos por partido'!M68</f>
        <v>2177</v>
      </c>
      <c r="F96" s="148">
        <f>+E96+E97+E98+E99</f>
        <v>5250</v>
      </c>
      <c r="G96" s="148">
        <v>6960</v>
      </c>
      <c r="H96" s="137">
        <f>+'Votos por partido'!U74</f>
        <v>2815</v>
      </c>
      <c r="I96" s="137"/>
      <c r="J96" s="166">
        <f>SUM(H96:I99)</f>
        <v>5376</v>
      </c>
      <c r="K96" s="167"/>
      <c r="L96" s="137"/>
    </row>
    <row r="97" spans="1:12" ht="21" x14ac:dyDescent="0.35">
      <c r="A97" s="55">
        <v>82</v>
      </c>
      <c r="B97" s="37" t="s">
        <v>57</v>
      </c>
      <c r="C97" s="37"/>
      <c r="D97" s="37" t="s">
        <v>14</v>
      </c>
      <c r="E97" s="38">
        <f>+'Votos por partido'!M73</f>
        <v>2614</v>
      </c>
      <c r="F97" s="149"/>
      <c r="G97" s="149"/>
      <c r="H97" s="137">
        <f>+'Votos por partido'!U75</f>
        <v>1829</v>
      </c>
      <c r="I97" s="137"/>
      <c r="J97" s="155"/>
      <c r="K97" s="168"/>
      <c r="L97" s="137"/>
    </row>
    <row r="98" spans="1:12" ht="21" x14ac:dyDescent="0.35">
      <c r="A98" s="55">
        <v>82</v>
      </c>
      <c r="B98" s="37" t="s">
        <v>57</v>
      </c>
      <c r="C98" s="37"/>
      <c r="D98" s="38" t="s">
        <v>22</v>
      </c>
      <c r="E98" s="38">
        <f>+'Votos por partido'!M69+'Votos por partido'!M70+'Votos por partido'!M71+'Votos por partido'!M72</f>
        <v>288</v>
      </c>
      <c r="F98" s="149"/>
      <c r="G98" s="149"/>
      <c r="H98" s="137">
        <f>+'Votos por partido'!U76+'Votos por partido'!U77+'Votos por partido'!U79+'Votos por partido'!U81+'Votos por partido'!U82+'Votos por partido'!U83</f>
        <v>521</v>
      </c>
      <c r="I98" s="137"/>
      <c r="J98" s="155"/>
      <c r="K98" s="168"/>
      <c r="L98" s="137"/>
    </row>
    <row r="99" spans="1:12" ht="21.75" thickBot="1" x14ac:dyDescent="0.4">
      <c r="A99" s="56">
        <v>82</v>
      </c>
      <c r="B99" s="37" t="s">
        <v>57</v>
      </c>
      <c r="C99" s="37"/>
      <c r="D99" s="42" t="s">
        <v>23</v>
      </c>
      <c r="E99" s="42">
        <f>+'Votos por partido'!M74+'Votos por partido'!M75</f>
        <v>171</v>
      </c>
      <c r="F99" s="150"/>
      <c r="G99" s="150"/>
      <c r="H99" s="137">
        <f>+'Votos por partido'!U78+'Votos por partido'!U80</f>
        <v>211</v>
      </c>
      <c r="I99" s="137"/>
      <c r="J99" s="169"/>
      <c r="K99" s="170"/>
      <c r="L99" s="137"/>
    </row>
    <row r="100" spans="1:12" ht="21" x14ac:dyDescent="0.35">
      <c r="A100" s="60">
        <v>2</v>
      </c>
      <c r="B100" s="84" t="s">
        <v>60</v>
      </c>
      <c r="C100" s="84"/>
      <c r="D100" s="45" t="s">
        <v>9</v>
      </c>
      <c r="E100" s="61">
        <f>+'Votos por partido'!M76</f>
        <v>1806</v>
      </c>
      <c r="F100" s="161">
        <f>+E100+E101+E102+E103</f>
        <v>3791</v>
      </c>
      <c r="G100" s="161">
        <v>4555</v>
      </c>
      <c r="H100" s="164">
        <f>+'Votos por partido'!U104</f>
        <v>2157</v>
      </c>
      <c r="I100" s="164"/>
      <c r="J100" s="171">
        <f>SUM(H100:I103)</f>
        <v>3886</v>
      </c>
      <c r="K100" s="172"/>
      <c r="L100" s="164"/>
    </row>
    <row r="101" spans="1:12" ht="21" x14ac:dyDescent="0.35">
      <c r="A101" s="62">
        <v>2</v>
      </c>
      <c r="B101" s="44" t="s">
        <v>60</v>
      </c>
      <c r="C101" s="44"/>
      <c r="D101" s="44" t="s">
        <v>14</v>
      </c>
      <c r="E101" s="49">
        <f>+'Votos por partido'!M81</f>
        <v>1721</v>
      </c>
      <c r="F101" s="162"/>
      <c r="G101" s="162"/>
      <c r="H101" s="164">
        <f>+'Votos por partido'!U105</f>
        <v>1277</v>
      </c>
      <c r="I101" s="164"/>
      <c r="J101" s="173"/>
      <c r="K101" s="174"/>
      <c r="L101" s="164"/>
    </row>
    <row r="102" spans="1:12" ht="21" x14ac:dyDescent="0.35">
      <c r="A102" s="62">
        <v>2</v>
      </c>
      <c r="B102" s="44" t="s">
        <v>60</v>
      </c>
      <c r="C102" s="44"/>
      <c r="D102" s="49" t="s">
        <v>22</v>
      </c>
      <c r="E102" s="49">
        <f>+'Votos por partido'!M77+'Votos por partido'!M78+'Votos por partido'!M79+'Votos por partido'!M80</f>
        <v>159</v>
      </c>
      <c r="F102" s="162"/>
      <c r="G102" s="162"/>
      <c r="H102" s="164">
        <f>+'Votos por partido'!U106+'Votos por partido'!U109+'Votos por partido'!U110+'Votos por partido'!U111+'Votos por partido'!U112+'Votos por partido'!U113</f>
        <v>294</v>
      </c>
      <c r="I102" s="164"/>
      <c r="J102" s="173"/>
      <c r="K102" s="174"/>
      <c r="L102" s="164"/>
    </row>
    <row r="103" spans="1:12" ht="21.75" thickBot="1" x14ac:dyDescent="0.4">
      <c r="A103" s="63">
        <v>2</v>
      </c>
      <c r="B103" s="44" t="s">
        <v>60</v>
      </c>
      <c r="C103" s="51"/>
      <c r="D103" s="52" t="s">
        <v>23</v>
      </c>
      <c r="E103" s="52">
        <f>+'Votos por partido'!M82+'Votos por partido'!M83</f>
        <v>105</v>
      </c>
      <c r="F103" s="163"/>
      <c r="G103" s="163"/>
      <c r="H103" s="164">
        <f>+'Votos por partido'!U107+'Votos por partido'!U108</f>
        <v>158</v>
      </c>
      <c r="I103" s="164"/>
      <c r="J103" s="175"/>
      <c r="K103" s="176"/>
      <c r="L103" s="164"/>
    </row>
    <row r="104" spans="1:12" ht="21" x14ac:dyDescent="0.35">
      <c r="A104" s="54">
        <v>36</v>
      </c>
      <c r="B104" s="33" t="s">
        <v>52</v>
      </c>
      <c r="C104" s="33"/>
      <c r="D104" s="33" t="s">
        <v>9</v>
      </c>
      <c r="E104" s="34">
        <f>+'Votos por partido'!M84</f>
        <v>987</v>
      </c>
      <c r="F104" s="148">
        <f>+E104+E105+E106+E107</f>
        <v>3009</v>
      </c>
      <c r="G104" s="148">
        <v>4249</v>
      </c>
      <c r="H104" s="137">
        <f>+'Votos por partido'!U95</f>
        <v>966</v>
      </c>
      <c r="I104" s="137"/>
      <c r="J104" s="166">
        <f>SUM(H104:I107)</f>
        <v>2909</v>
      </c>
      <c r="K104" s="167"/>
      <c r="L104" s="137"/>
    </row>
    <row r="105" spans="1:12" ht="21" x14ac:dyDescent="0.35">
      <c r="A105" s="55">
        <v>36</v>
      </c>
      <c r="B105" s="37" t="s">
        <v>52</v>
      </c>
      <c r="C105" s="37"/>
      <c r="D105" s="37" t="s">
        <v>14</v>
      </c>
      <c r="E105" s="38">
        <f>+'Votos por partido'!M89</f>
        <v>1730</v>
      </c>
      <c r="F105" s="149"/>
      <c r="G105" s="149"/>
      <c r="H105" s="137">
        <f>+'Votos por partido'!U94</f>
        <v>1490</v>
      </c>
      <c r="I105" s="137"/>
      <c r="J105" s="155"/>
      <c r="K105" s="168"/>
      <c r="L105" s="137"/>
    </row>
    <row r="106" spans="1:12" ht="21" x14ac:dyDescent="0.35">
      <c r="A106" s="55">
        <v>37</v>
      </c>
      <c r="B106" s="37" t="s">
        <v>52</v>
      </c>
      <c r="C106" s="37"/>
      <c r="D106" s="38" t="s">
        <v>22</v>
      </c>
      <c r="E106" s="38">
        <f>+'Votos por partido'!M85+'Votos por partido'!M86+'Votos por partido'!M87+'Votos por partido'!M88</f>
        <v>191</v>
      </c>
      <c r="F106" s="149"/>
      <c r="G106" s="149"/>
      <c r="H106" s="137">
        <f>+'Votos por partido'!U96+'Votos por partido'!U98+'Votos por partido'!U100+'Votos por partido'!U101+'Votos por partido'!U102+'Votos por partido'!U103</f>
        <v>335</v>
      </c>
      <c r="I106" s="137"/>
      <c r="J106" s="155"/>
      <c r="K106" s="168"/>
      <c r="L106" s="137"/>
    </row>
    <row r="107" spans="1:12" ht="21.75" thickBot="1" x14ac:dyDescent="0.4">
      <c r="A107" s="55">
        <v>38</v>
      </c>
      <c r="B107" s="37" t="s">
        <v>52</v>
      </c>
      <c r="C107" s="41"/>
      <c r="D107" s="42" t="s">
        <v>23</v>
      </c>
      <c r="E107" s="42">
        <f>+'Votos por partido'!M90+'Votos por partido'!M91</f>
        <v>101</v>
      </c>
      <c r="F107" s="150"/>
      <c r="G107" s="150"/>
      <c r="H107" s="137">
        <f>+'Votos por partido'!U99+'Votos por partido'!U97</f>
        <v>118</v>
      </c>
      <c r="I107" s="137"/>
      <c r="J107" s="169"/>
      <c r="K107" s="170"/>
      <c r="L107" s="137"/>
    </row>
    <row r="108" spans="1:12" ht="21" x14ac:dyDescent="0.35">
      <c r="A108" s="60">
        <v>81</v>
      </c>
      <c r="B108" s="45" t="s">
        <v>96</v>
      </c>
      <c r="C108" s="45"/>
      <c r="D108" s="45" t="s">
        <v>9</v>
      </c>
      <c r="E108" s="61">
        <f>+'Votos por partido'!M92</f>
        <v>1528</v>
      </c>
      <c r="F108" s="161">
        <f>+E108+E109+E110+E111</f>
        <v>3337</v>
      </c>
      <c r="G108" s="161">
        <v>4220</v>
      </c>
      <c r="H108" s="164">
        <f>+'Votos por partido'!U114</f>
        <v>1770</v>
      </c>
      <c r="I108" s="164"/>
      <c r="J108" s="171">
        <f>SUM(H108:I111)</f>
        <v>3320</v>
      </c>
      <c r="K108" s="172"/>
      <c r="L108" s="164"/>
    </row>
    <row r="109" spans="1:12" ht="21" x14ac:dyDescent="0.35">
      <c r="A109" s="62">
        <v>81</v>
      </c>
      <c r="B109" s="44" t="s">
        <v>97</v>
      </c>
      <c r="C109" s="44"/>
      <c r="D109" s="44" t="s">
        <v>14</v>
      </c>
      <c r="E109" s="49">
        <f>+'Votos por partido'!M97</f>
        <v>1599</v>
      </c>
      <c r="F109" s="162"/>
      <c r="G109" s="162"/>
      <c r="H109" s="164">
        <f>+'Votos por partido'!U115</f>
        <v>1140</v>
      </c>
      <c r="I109" s="164"/>
      <c r="J109" s="173"/>
      <c r="K109" s="174"/>
      <c r="L109" s="164"/>
    </row>
    <row r="110" spans="1:12" ht="21" x14ac:dyDescent="0.35">
      <c r="A110" s="62">
        <v>81</v>
      </c>
      <c r="B110" s="44" t="s">
        <v>97</v>
      </c>
      <c r="C110" s="44"/>
      <c r="D110" s="49" t="s">
        <v>22</v>
      </c>
      <c r="E110" s="49">
        <f>+'Votos por partido'!M93+'Votos por partido'!M94+'Votos por partido'!M95+'Votos por partido'!M96</f>
        <v>132</v>
      </c>
      <c r="F110" s="162"/>
      <c r="G110" s="162"/>
      <c r="H110" s="164">
        <f>+'Votos por partido'!U116+'Votos por partido'!U119+'Votos por partido'!U120+'Votos por partido'!U121+'Votos por partido'!U122+'Votos por partido'!U123</f>
        <v>259</v>
      </c>
      <c r="I110" s="164"/>
      <c r="J110" s="173"/>
      <c r="K110" s="174"/>
      <c r="L110" s="164"/>
    </row>
    <row r="111" spans="1:12" ht="21.75" thickBot="1" x14ac:dyDescent="0.4">
      <c r="A111" s="62">
        <v>81</v>
      </c>
      <c r="B111" s="44" t="s">
        <v>97</v>
      </c>
      <c r="C111" s="51"/>
      <c r="D111" s="52" t="s">
        <v>23</v>
      </c>
      <c r="E111" s="52">
        <f>+'Votos por partido'!M98+'Votos por partido'!M99</f>
        <v>78</v>
      </c>
      <c r="F111" s="163"/>
      <c r="G111" s="163"/>
      <c r="H111" s="164">
        <f>+'Votos por partido'!U117+'Votos por partido'!U118</f>
        <v>151</v>
      </c>
      <c r="I111" s="164"/>
      <c r="J111" s="175"/>
      <c r="K111" s="176"/>
      <c r="L111" s="164"/>
    </row>
    <row r="112" spans="1:12" ht="21" x14ac:dyDescent="0.35">
      <c r="A112" s="54">
        <v>13</v>
      </c>
      <c r="B112" s="33" t="s">
        <v>55</v>
      </c>
      <c r="C112" s="33"/>
      <c r="D112" s="33" t="s">
        <v>9</v>
      </c>
      <c r="E112" s="34">
        <f>+'Votos por partido'!M100</f>
        <v>1514</v>
      </c>
      <c r="F112" s="148">
        <f>+E112+E113+E114+E115</f>
        <v>3086</v>
      </c>
      <c r="G112" s="148">
        <v>3818</v>
      </c>
      <c r="H112" s="137">
        <f>+'Votos por partido'!U124</f>
        <v>1077</v>
      </c>
      <c r="I112" s="137"/>
      <c r="J112" s="166">
        <f>SUM(H112:I115)</f>
        <v>3179</v>
      </c>
      <c r="K112" s="167"/>
      <c r="L112" s="137"/>
    </row>
    <row r="113" spans="1:12" ht="21" x14ac:dyDescent="0.35">
      <c r="A113" s="55">
        <v>13</v>
      </c>
      <c r="B113" s="37" t="s">
        <v>55</v>
      </c>
      <c r="C113" s="37"/>
      <c r="D113" s="37" t="s">
        <v>14</v>
      </c>
      <c r="E113" s="38">
        <f>+'Votos por partido'!M105</f>
        <v>1384</v>
      </c>
      <c r="F113" s="149"/>
      <c r="G113" s="149"/>
      <c r="H113" s="137">
        <f>+'Votos por partido'!U126</f>
        <v>766</v>
      </c>
      <c r="I113" s="137"/>
      <c r="J113" s="155"/>
      <c r="K113" s="168"/>
      <c r="L113" s="137"/>
    </row>
    <row r="114" spans="1:12" ht="21" x14ac:dyDescent="0.35">
      <c r="A114" s="55">
        <v>13</v>
      </c>
      <c r="B114" s="37" t="s">
        <v>55</v>
      </c>
      <c r="C114" s="37"/>
      <c r="D114" s="38" t="s">
        <v>22</v>
      </c>
      <c r="E114" s="38">
        <f>+'Votos por partido'!M101+'Votos por partido'!M102+'Votos por partido'!M103+'Votos por partido'!M104</f>
        <v>107</v>
      </c>
      <c r="F114" s="149"/>
      <c r="G114" s="149"/>
      <c r="H114" s="137">
        <f>+'Votos por partido'!U125+'Votos por partido'!U127+'Votos por partido'!U130+'Votos por partido'!U131+'Votos por partido'!U132+'Votos por partido'!U133</f>
        <v>1221</v>
      </c>
      <c r="I114" s="137"/>
      <c r="J114" s="155"/>
      <c r="K114" s="168"/>
      <c r="L114" s="137"/>
    </row>
    <row r="115" spans="1:12" ht="21.75" thickBot="1" x14ac:dyDescent="0.4">
      <c r="A115" s="55">
        <v>13</v>
      </c>
      <c r="B115" s="37" t="s">
        <v>55</v>
      </c>
      <c r="C115" s="41"/>
      <c r="D115" s="42" t="s">
        <v>23</v>
      </c>
      <c r="E115" s="42">
        <f>+'Votos por partido'!M106+'Votos por partido'!M107</f>
        <v>81</v>
      </c>
      <c r="F115" s="150"/>
      <c r="G115" s="150"/>
      <c r="H115" s="137">
        <f>+'Votos por partido'!U128+'Votos por partido'!U129</f>
        <v>115</v>
      </c>
      <c r="I115" s="137"/>
      <c r="J115" s="169"/>
      <c r="K115" s="170"/>
      <c r="L115" s="137"/>
    </row>
    <row r="116" spans="1:12" ht="21" x14ac:dyDescent="0.35">
      <c r="A116" s="60">
        <v>65</v>
      </c>
      <c r="B116" s="45" t="s">
        <v>56</v>
      </c>
      <c r="C116" s="45"/>
      <c r="D116" s="45" t="s">
        <v>9</v>
      </c>
      <c r="E116" s="61">
        <f>+'Votos por partido'!M108</f>
        <v>1036</v>
      </c>
      <c r="F116" s="161">
        <f>+E116+E117+E118+E119</f>
        <v>2701</v>
      </c>
      <c r="G116" s="161">
        <v>3453</v>
      </c>
      <c r="H116" s="164">
        <f>+'Votos por partido'!U134</f>
        <v>1289</v>
      </c>
      <c r="I116" s="164"/>
      <c r="J116" s="171">
        <f>SUM(H116:I119)</f>
        <v>2717</v>
      </c>
      <c r="K116" s="172"/>
      <c r="L116" s="164"/>
    </row>
    <row r="117" spans="1:12" ht="21" x14ac:dyDescent="0.35">
      <c r="A117" s="62">
        <v>65</v>
      </c>
      <c r="B117" s="44" t="s">
        <v>56</v>
      </c>
      <c r="C117" s="44"/>
      <c r="D117" s="44" t="s">
        <v>14</v>
      </c>
      <c r="E117" s="49">
        <f>+'Votos por partido'!M113</f>
        <v>1457</v>
      </c>
      <c r="F117" s="162"/>
      <c r="G117" s="162"/>
      <c r="H117" s="164">
        <f>+'Votos por partido'!U135</f>
        <v>1088</v>
      </c>
      <c r="I117" s="164"/>
      <c r="J117" s="173"/>
      <c r="K117" s="174"/>
      <c r="L117" s="164"/>
    </row>
    <row r="118" spans="1:12" ht="21" x14ac:dyDescent="0.35">
      <c r="A118" s="62">
        <v>65</v>
      </c>
      <c r="B118" s="44" t="s">
        <v>56</v>
      </c>
      <c r="C118" s="44"/>
      <c r="D118" s="49" t="s">
        <v>22</v>
      </c>
      <c r="E118" s="49">
        <f>+'Votos por partido'!M109+'Votos por partido'!M110+'Votos por partido'!M111+'Votos por partido'!M112</f>
        <v>152</v>
      </c>
      <c r="F118" s="162"/>
      <c r="G118" s="162"/>
      <c r="H118" s="164">
        <f>+'Votos por partido'!U137+'Votos por partido'!U138+'Votos por partido'!U140+'Votos por partido'!U141+'Votos por partido'!U142+'Votos por partido'!U143</f>
        <v>210</v>
      </c>
      <c r="I118" s="164"/>
      <c r="J118" s="173"/>
      <c r="K118" s="174"/>
      <c r="L118" s="164"/>
    </row>
    <row r="119" spans="1:12" ht="21.75" thickBot="1" x14ac:dyDescent="0.4">
      <c r="A119" s="63">
        <v>65</v>
      </c>
      <c r="B119" s="44" t="s">
        <v>56</v>
      </c>
      <c r="C119" s="51"/>
      <c r="D119" s="52" t="s">
        <v>23</v>
      </c>
      <c r="E119" s="52">
        <f>+'Votos por partido'!M114+'Votos por partido'!M115</f>
        <v>56</v>
      </c>
      <c r="F119" s="163"/>
      <c r="G119" s="163"/>
      <c r="H119" s="164">
        <f>+'Votos por partido'!U139+'Votos por partido'!U136</f>
        <v>130</v>
      </c>
      <c r="I119" s="164"/>
      <c r="J119" s="175"/>
      <c r="K119" s="176"/>
      <c r="L119" s="164"/>
    </row>
    <row r="120" spans="1:12" ht="21" x14ac:dyDescent="0.35">
      <c r="A120" s="65"/>
      <c r="B120" s="65"/>
      <c r="C120" s="65"/>
      <c r="D120" s="65"/>
      <c r="E120" s="65"/>
      <c r="F120" s="66">
        <f>SUM(F64:F119)</f>
        <v>169535</v>
      </c>
      <c r="G120" s="66">
        <f>SUM(G64:G119)</f>
        <v>218642</v>
      </c>
      <c r="H120" s="165">
        <f>SUM(H64:I119)</f>
        <v>166833</v>
      </c>
      <c r="I120" s="165"/>
      <c r="J120" s="165">
        <f>SUM(J64:K119)</f>
        <v>166833</v>
      </c>
      <c r="K120" s="165"/>
      <c r="L120" s="68">
        <f>SUM(L64:L119)</f>
        <v>173489</v>
      </c>
    </row>
    <row r="125" spans="1:12" ht="15.75" thickBot="1" x14ac:dyDescent="0.3"/>
    <row r="126" spans="1:12" ht="21" thickBot="1" x14ac:dyDescent="0.35">
      <c r="B126" s="109"/>
      <c r="C126" s="109"/>
      <c r="D126" s="107"/>
      <c r="E126" s="112"/>
      <c r="F126" s="112"/>
      <c r="G126" s="112"/>
      <c r="H126" s="112"/>
      <c r="I126" s="112"/>
      <c r="J126" s="110"/>
    </row>
    <row r="127" spans="1:12" ht="21" x14ac:dyDescent="0.35">
      <c r="B127" s="33"/>
      <c r="C127" s="34"/>
      <c r="D127" s="111"/>
      <c r="E127" s="136"/>
      <c r="F127" s="136"/>
    </row>
    <row r="129" spans="12:17" ht="15.75" thickBot="1" x14ac:dyDescent="0.3"/>
    <row r="130" spans="12:17" ht="21" thickBot="1" x14ac:dyDescent="0.35">
      <c r="M130" s="109" t="s">
        <v>17</v>
      </c>
      <c r="N130" s="109" t="s">
        <v>47</v>
      </c>
      <c r="O130" s="108" t="s">
        <v>28</v>
      </c>
      <c r="P130" s="112" t="s">
        <v>29</v>
      </c>
      <c r="Q130" s="112"/>
    </row>
    <row r="131" spans="12:17" ht="21" x14ac:dyDescent="0.35">
      <c r="L131" t="s">
        <v>9</v>
      </c>
      <c r="M131" s="33">
        <v>22866</v>
      </c>
      <c r="N131" s="34">
        <v>24519</v>
      </c>
      <c r="O131" s="111">
        <v>29146</v>
      </c>
      <c r="P131" s="136">
        <v>33285</v>
      </c>
      <c r="Q131" s="136"/>
    </row>
    <row r="132" spans="12:17" ht="21" x14ac:dyDescent="0.35">
      <c r="L132" t="s">
        <v>98</v>
      </c>
      <c r="M132" s="37">
        <v>30769</v>
      </c>
      <c r="N132" s="38">
        <v>26837</v>
      </c>
      <c r="O132" s="193">
        <v>28965</v>
      </c>
      <c r="P132" s="194">
        <v>16400</v>
      </c>
      <c r="Q132" s="195"/>
    </row>
  </sheetData>
  <mergeCells count="209">
    <mergeCell ref="P131:Q131"/>
    <mergeCell ref="P132:Q132"/>
    <mergeCell ref="L116:L119"/>
    <mergeCell ref="H117:I117"/>
    <mergeCell ref="H118:I118"/>
    <mergeCell ref="H119:I119"/>
    <mergeCell ref="F112:F115"/>
    <mergeCell ref="G112:G115"/>
    <mergeCell ref="H112:I112"/>
    <mergeCell ref="J112:K115"/>
    <mergeCell ref="L112:L115"/>
    <mergeCell ref="H113:I113"/>
    <mergeCell ref="H114:I114"/>
    <mergeCell ref="H115:I115"/>
    <mergeCell ref="L108:L111"/>
    <mergeCell ref="H109:I109"/>
    <mergeCell ref="H110:I110"/>
    <mergeCell ref="H111:I111"/>
    <mergeCell ref="F104:F107"/>
    <mergeCell ref="G104:G107"/>
    <mergeCell ref="H104:I104"/>
    <mergeCell ref="J104:K107"/>
    <mergeCell ref="L104:L107"/>
    <mergeCell ref="H105:I105"/>
    <mergeCell ref="H106:I106"/>
    <mergeCell ref="H107:I107"/>
    <mergeCell ref="L100:L103"/>
    <mergeCell ref="H101:I101"/>
    <mergeCell ref="H102:I102"/>
    <mergeCell ref="H103:I103"/>
    <mergeCell ref="F84:F87"/>
    <mergeCell ref="G84:G87"/>
    <mergeCell ref="H84:I84"/>
    <mergeCell ref="J84:K87"/>
    <mergeCell ref="L84:L87"/>
    <mergeCell ref="H85:I85"/>
    <mergeCell ref="H86:I86"/>
    <mergeCell ref="H87:I87"/>
    <mergeCell ref="F92:F95"/>
    <mergeCell ref="G92:G95"/>
    <mergeCell ref="H92:I92"/>
    <mergeCell ref="J92:K95"/>
    <mergeCell ref="L92:L95"/>
    <mergeCell ref="H93:I93"/>
    <mergeCell ref="H94:I94"/>
    <mergeCell ref="H95:I95"/>
    <mergeCell ref="L96:L99"/>
    <mergeCell ref="H97:I97"/>
    <mergeCell ref="H98:I98"/>
    <mergeCell ref="H99:I99"/>
    <mergeCell ref="M43:M46"/>
    <mergeCell ref="M47:M50"/>
    <mergeCell ref="M51:M54"/>
    <mergeCell ref="M55:M58"/>
    <mergeCell ref="F55:F58"/>
    <mergeCell ref="G55:G58"/>
    <mergeCell ref="I55:I58"/>
    <mergeCell ref="K55:K58"/>
    <mergeCell ref="L55:L58"/>
    <mergeCell ref="F51:F54"/>
    <mergeCell ref="G51:G54"/>
    <mergeCell ref="I51:I54"/>
    <mergeCell ref="K51:K54"/>
    <mergeCell ref="L51:L54"/>
    <mergeCell ref="F47:F50"/>
    <mergeCell ref="G47:G50"/>
    <mergeCell ref="M23:M26"/>
    <mergeCell ref="M27:M30"/>
    <mergeCell ref="M31:M34"/>
    <mergeCell ref="M35:M38"/>
    <mergeCell ref="M39:M42"/>
    <mergeCell ref="M3:M6"/>
    <mergeCell ref="M7:M10"/>
    <mergeCell ref="M11:M14"/>
    <mergeCell ref="M15:M18"/>
    <mergeCell ref="M19:M22"/>
    <mergeCell ref="L3:L6"/>
    <mergeCell ref="L7:L10"/>
    <mergeCell ref="L11:L14"/>
    <mergeCell ref="L15:L18"/>
    <mergeCell ref="L19:L22"/>
    <mergeCell ref="I7:I10"/>
    <mergeCell ref="I11:I14"/>
    <mergeCell ref="F15:F18"/>
    <mergeCell ref="G15:G18"/>
    <mergeCell ref="I15:I18"/>
    <mergeCell ref="K3:K6"/>
    <mergeCell ref="K7:K10"/>
    <mergeCell ref="K11:K14"/>
    <mergeCell ref="F27:F30"/>
    <mergeCell ref="G27:G30"/>
    <mergeCell ref="I27:I30"/>
    <mergeCell ref="K27:K30"/>
    <mergeCell ref="L27:L30"/>
    <mergeCell ref="F23:F26"/>
    <mergeCell ref="G23:G26"/>
    <mergeCell ref="I23:I26"/>
    <mergeCell ref="K23:K26"/>
    <mergeCell ref="L23:L26"/>
    <mergeCell ref="L88:L91"/>
    <mergeCell ref="H89:I89"/>
    <mergeCell ref="H90:I90"/>
    <mergeCell ref="H91:I91"/>
    <mergeCell ref="J1:L1"/>
    <mergeCell ref="H62:L62"/>
    <mergeCell ref="H81:I81"/>
    <mergeCell ref="H82:I82"/>
    <mergeCell ref="H77:I77"/>
    <mergeCell ref="H78:I78"/>
    <mergeCell ref="H79:I79"/>
    <mergeCell ref="H73:I73"/>
    <mergeCell ref="H74:I74"/>
    <mergeCell ref="H75:I75"/>
    <mergeCell ref="H70:I70"/>
    <mergeCell ref="H71:I71"/>
    <mergeCell ref="H72:I72"/>
    <mergeCell ref="J80:K83"/>
    <mergeCell ref="H80:I80"/>
    <mergeCell ref="L72:L75"/>
    <mergeCell ref="L76:L79"/>
    <mergeCell ref="L80:L83"/>
    <mergeCell ref="H65:I65"/>
    <mergeCell ref="H66:I66"/>
    <mergeCell ref="L64:L67"/>
    <mergeCell ref="L68:L71"/>
    <mergeCell ref="H83:I83"/>
    <mergeCell ref="J64:K67"/>
    <mergeCell ref="J68:K71"/>
    <mergeCell ref="J76:K79"/>
    <mergeCell ref="J72:K75"/>
    <mergeCell ref="I35:I38"/>
    <mergeCell ref="K35:K38"/>
    <mergeCell ref="L35:L38"/>
    <mergeCell ref="H76:I76"/>
    <mergeCell ref="H67:I67"/>
    <mergeCell ref="H63:I63"/>
    <mergeCell ref="J63:K63"/>
    <mergeCell ref="H64:I64"/>
    <mergeCell ref="L39:L42"/>
    <mergeCell ref="K31:K34"/>
    <mergeCell ref="L31:L34"/>
    <mergeCell ref="I47:I50"/>
    <mergeCell ref="K47:K50"/>
    <mergeCell ref="L47:L50"/>
    <mergeCell ref="I43:I46"/>
    <mergeCell ref="K43:K46"/>
    <mergeCell ref="L43:L46"/>
    <mergeCell ref="K39:K42"/>
    <mergeCell ref="H69:I69"/>
    <mergeCell ref="H68:I68"/>
    <mergeCell ref="J120:K120"/>
    <mergeCell ref="H120:I120"/>
    <mergeCell ref="H88:I88"/>
    <mergeCell ref="J88:K91"/>
    <mergeCell ref="F96:F99"/>
    <mergeCell ref="G96:G99"/>
    <mergeCell ref="H96:I96"/>
    <mergeCell ref="J96:K99"/>
    <mergeCell ref="F100:F103"/>
    <mergeCell ref="G100:G103"/>
    <mergeCell ref="H100:I100"/>
    <mergeCell ref="J100:K103"/>
    <mergeCell ref="F108:F111"/>
    <mergeCell ref="G108:G111"/>
    <mergeCell ref="H108:I108"/>
    <mergeCell ref="J108:K111"/>
    <mergeCell ref="F116:F119"/>
    <mergeCell ref="F88:F91"/>
    <mergeCell ref="G116:G119"/>
    <mergeCell ref="H116:I116"/>
    <mergeCell ref="J116:K119"/>
    <mergeCell ref="F35:F38"/>
    <mergeCell ref="G35:G38"/>
    <mergeCell ref="F31:F34"/>
    <mergeCell ref="G31:G34"/>
    <mergeCell ref="F43:F46"/>
    <mergeCell ref="G43:G46"/>
    <mergeCell ref="F39:F42"/>
    <mergeCell ref="G39:G42"/>
    <mergeCell ref="I39:I42"/>
    <mergeCell ref="I31:I34"/>
    <mergeCell ref="K15:K18"/>
    <mergeCell ref="F19:F22"/>
    <mergeCell ref="G19:G22"/>
    <mergeCell ref="I19:I22"/>
    <mergeCell ref="K19:K22"/>
    <mergeCell ref="I3:I6"/>
    <mergeCell ref="A1:G1"/>
    <mergeCell ref="G3:G6"/>
    <mergeCell ref="F3:F6"/>
    <mergeCell ref="F7:F10"/>
    <mergeCell ref="G7:G10"/>
    <mergeCell ref="F11:F14"/>
    <mergeCell ref="G11:G14"/>
    <mergeCell ref="H1:I1"/>
    <mergeCell ref="E127:F127"/>
    <mergeCell ref="G88:G91"/>
    <mergeCell ref="B51:C51"/>
    <mergeCell ref="A62:G62"/>
    <mergeCell ref="F64:F67"/>
    <mergeCell ref="G64:G67"/>
    <mergeCell ref="F76:F79"/>
    <mergeCell ref="G76:G79"/>
    <mergeCell ref="F80:F83"/>
    <mergeCell ref="G80:G83"/>
    <mergeCell ref="F68:F71"/>
    <mergeCell ref="G68:G71"/>
    <mergeCell ref="F72:F75"/>
    <mergeCell ref="G72:G75"/>
  </mergeCells>
  <dataValidations count="3">
    <dataValidation type="list" allowBlank="1" sqref="C63:C119 C2:C26 C28:C50 C52:C58" xr:uid="{40D783E7-7F9B-44D6-BC60-586288FF2C56}">
      <formula1>$I$5:$I$12</formula1>
    </dataValidation>
    <dataValidation type="list" allowBlank="1" sqref="C27" xr:uid="{79449AE1-82E7-48C3-9F7E-C2B6DDEA401D}">
      <formula1>$I$4:$I$11</formula1>
    </dataValidation>
    <dataValidation type="list" allowBlank="1" sqref="D63:D65 D96:D97 D84:D85 D55:D56 D47:D48 D43:D44 D39:D40 D35:D36 D31:D32 D27:D28 D23:D24 D51:D52 D80:D81 D76:D77 D72:D73 D68:D69 D19:D20 D15:D16 D11:D12 D7:D8 D2:D4 D92:D93 D116:D117 D108:D109 D100:D101 D104:D105 D112:D113 D88:D89" xr:uid="{05D074B3-3D7F-494B-A85A-70331946C9EC}">
      <formula1>$J$5:$J$158</formula1>
    </dataValidation>
  </dataValidations>
  <pageMargins left="0.70866141732283472" right="0.70866141732283472" top="0.74803149606299213" bottom="0.74803149606299213" header="0.31496062992125984" footer="0.31496062992125984"/>
  <pageSetup paperSize="5" scale="90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DA98FFDC-DC37-4656-95ED-E73A6A1A9B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Resumen!P132:P132</xm:f>
              <xm:sqref>P130</xm:sqref>
            </x14:sparkline>
          </x14:sparklines>
        </x14:sparklineGroup>
        <x14:sparklineGroup manualMax="0" manualMin="0" displayEmptyCellsAs="gap" xr2:uid="{AFA2EE6D-F6A1-4652-9238-9C9EFAEE7F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Resumen!S132:S132</xm:f>
              <xm:sqref>O130</xm:sqref>
            </x14:sparkline>
          </x14:sparklines>
        </x14:sparklineGroup>
        <x14:sparklineGroup manualMax="0" manualMin="0" displayEmptyCellsAs="gap" xr2:uid="{3665A38F-AB37-4A54-B753-A1198AFB3C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Resumen!N132:N132</xm:f>
              <xm:sqref>N130</xm:sqref>
            </x14:sparkline>
          </x14:sparklines>
        </x14:sparklineGroup>
        <x14:sparklineGroup manualMax="0" manualMin="0" displayEmptyCellsAs="gap" xr2:uid="{473264E0-DA5B-4E06-BBEB-8D604CF788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Resumen!Q132:Q132</xm:f>
              <xm:sqref>M130</xm:sqref>
            </x14:sparkline>
          </x14:sparklines>
        </x14:sparklineGroup>
        <x14:sparklineGroup manualMax="0" manualMin="0" displayEmptyCellsAs="gap" xr2:uid="{F6ED0CC9-652D-4854-B562-3582A72708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Resumen!E3</xm:f>
              <xm:sqref>A1</xm:sqref>
            </x14:sparkline>
            <x14:sparkline>
              <xm:f>Resumen!H3</xm:f>
              <xm:sqref>H1</xm:sqref>
            </x14:sparkline>
            <x14:sparkline>
              <xm:f>Resumen!E64</xm:f>
              <xm:sqref>A62</xm:sqref>
            </x14:sparkline>
            <x14:sparkline>
              <xm:f>Resumen!H64</xm:f>
              <xm:sqref>H62</xm:sqref>
            </x14:sparkline>
          </x14:sparklines>
        </x14:sparklineGroup>
        <x14:sparklineGroup manualMax="0" manualMin="0" displayEmptyCellsAs="gap" xr2:uid="{C3427422-1DAB-431F-8992-58526035DD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Resumen!F128:F128</xm:f>
              <xm:sqref>B126</xm:sqref>
            </x14:sparkline>
          </x14:sparklines>
        </x14:sparklineGroup>
        <x14:sparklineGroup manualMax="0" manualMin="0" displayEmptyCellsAs="gap" xr2:uid="{32DE6125-7351-47D2-8C82-ED40178A73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Resumen!C128:C128</xm:f>
              <xm:sqref>C126</xm:sqref>
            </x14:sparkline>
          </x14:sparklines>
        </x14:sparklineGroup>
        <x14:sparklineGroup manualMax="0" manualMin="0" displayEmptyCellsAs="gap" xr2:uid="{584FB997-244B-4805-A0D1-396B5A210C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Resumen!H128:H128</xm:f>
              <xm:sqref>D126</xm:sqref>
            </x14:sparkline>
          </x14:sparklines>
        </x14:sparklineGroup>
        <x14:sparklineGroup manualMax="0" manualMin="0" displayEmptyCellsAs="gap" xr2:uid="{827B7DC0-2876-4C8E-B543-4C7B936278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Resumen!E128:E128</xm:f>
              <xm:sqref>E126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1B5A-A932-4683-8A5E-DFA5439D1151}">
  <dimension ref="A1:E117"/>
  <sheetViews>
    <sheetView tabSelected="1" topLeftCell="A73" workbookViewId="0">
      <selection activeCell="J87" sqref="J87"/>
    </sheetView>
  </sheetViews>
  <sheetFormatPr baseColWidth="10" defaultRowHeight="15" x14ac:dyDescent="0.25"/>
  <cols>
    <col min="1" max="1" width="32" customWidth="1"/>
  </cols>
  <sheetData>
    <row r="1" spans="1:5" x14ac:dyDescent="0.25">
      <c r="A1" s="72"/>
    </row>
    <row r="2" spans="1:5" x14ac:dyDescent="0.25">
      <c r="A2" s="73"/>
    </row>
    <row r="3" spans="1:5" x14ac:dyDescent="0.25">
      <c r="A3" s="74" t="s">
        <v>63</v>
      </c>
    </row>
    <row r="4" spans="1:5" x14ac:dyDescent="0.25">
      <c r="A4" s="75" t="s">
        <v>64</v>
      </c>
      <c r="B4" s="75" t="s">
        <v>65</v>
      </c>
      <c r="C4" s="75" t="s">
        <v>66</v>
      </c>
      <c r="D4" s="75" t="s">
        <v>67</v>
      </c>
      <c r="E4" s="75" t="s">
        <v>68</v>
      </c>
    </row>
    <row r="5" spans="1:5" x14ac:dyDescent="0.25">
      <c r="A5" s="76" t="s">
        <v>69</v>
      </c>
      <c r="B5" s="77">
        <v>26837</v>
      </c>
      <c r="C5" s="78">
        <v>0.45400000000000001</v>
      </c>
      <c r="D5" s="77">
        <v>26751</v>
      </c>
      <c r="E5" s="78">
        <v>0.45300000000000001</v>
      </c>
    </row>
    <row r="6" spans="1:5" x14ac:dyDescent="0.25">
      <c r="A6" s="27"/>
      <c r="B6" s="27"/>
      <c r="C6" s="27"/>
      <c r="D6" s="27"/>
      <c r="E6" s="27"/>
    </row>
    <row r="7" spans="1:5" x14ac:dyDescent="0.25">
      <c r="A7" s="76" t="s">
        <v>70</v>
      </c>
      <c r="B7" s="77">
        <v>24519</v>
      </c>
      <c r="C7" s="78">
        <v>0.41499999999999998</v>
      </c>
      <c r="D7" s="77">
        <v>24632</v>
      </c>
      <c r="E7" s="78">
        <v>0.41699999999999998</v>
      </c>
    </row>
    <row r="8" spans="1:5" x14ac:dyDescent="0.25">
      <c r="A8" s="27"/>
      <c r="B8" s="27"/>
      <c r="C8" s="27"/>
      <c r="D8" s="27"/>
      <c r="E8" s="27"/>
    </row>
    <row r="9" spans="1:5" x14ac:dyDescent="0.25">
      <c r="A9" s="76" t="s">
        <v>71</v>
      </c>
      <c r="B9" s="79">
        <v>7702</v>
      </c>
      <c r="C9" s="78">
        <v>0.13</v>
      </c>
      <c r="D9" s="77">
        <v>7714</v>
      </c>
      <c r="E9" s="78">
        <v>0.13100000000000001</v>
      </c>
    </row>
    <row r="11" spans="1:5" x14ac:dyDescent="0.25">
      <c r="A11" s="80"/>
    </row>
    <row r="12" spans="1:5" x14ac:dyDescent="0.25">
      <c r="A12" s="74" t="s">
        <v>72</v>
      </c>
    </row>
    <row r="13" spans="1:5" x14ac:dyDescent="0.25">
      <c r="A13" s="75" t="s">
        <v>64</v>
      </c>
      <c r="B13" s="75" t="s">
        <v>65</v>
      </c>
      <c r="C13" s="75" t="s">
        <v>73</v>
      </c>
      <c r="D13" s="75" t="s">
        <v>67</v>
      </c>
      <c r="E13" s="75" t="s">
        <v>74</v>
      </c>
    </row>
    <row r="14" spans="1:5" x14ac:dyDescent="0.25">
      <c r="A14" s="76" t="s">
        <v>75</v>
      </c>
      <c r="B14" s="77">
        <v>18739</v>
      </c>
      <c r="C14" s="78">
        <v>0.54400000000000004</v>
      </c>
      <c r="D14" s="77">
        <v>18714</v>
      </c>
      <c r="E14" s="78">
        <v>0.54400000000000004</v>
      </c>
    </row>
    <row r="15" spans="1:5" x14ac:dyDescent="0.25">
      <c r="A15" s="27"/>
      <c r="B15" s="27"/>
      <c r="C15" s="27"/>
      <c r="D15" s="27"/>
      <c r="E15" s="27"/>
    </row>
    <row r="16" spans="1:5" x14ac:dyDescent="0.25">
      <c r="A16" s="76" t="s">
        <v>76</v>
      </c>
      <c r="B16" s="77">
        <v>11694</v>
      </c>
      <c r="C16" s="78">
        <v>0.33900000000000002</v>
      </c>
      <c r="D16" s="77">
        <v>11681</v>
      </c>
      <c r="E16" s="78">
        <v>0.34</v>
      </c>
    </row>
    <row r="17" spans="1:5" x14ac:dyDescent="0.25">
      <c r="A17" s="27"/>
      <c r="B17" s="27"/>
      <c r="C17" s="27"/>
      <c r="D17" s="27"/>
      <c r="E17" s="27"/>
    </row>
    <row r="18" spans="1:5" x14ac:dyDescent="0.25">
      <c r="A18" s="76" t="s">
        <v>77</v>
      </c>
      <c r="B18" s="77">
        <v>4022</v>
      </c>
      <c r="C18" s="78">
        <v>0.11700000000000001</v>
      </c>
      <c r="D18" s="77">
        <v>3977</v>
      </c>
      <c r="E18" s="81" t="s">
        <v>78</v>
      </c>
    </row>
    <row r="20" spans="1:5" x14ac:dyDescent="0.25">
      <c r="A20" s="80"/>
    </row>
    <row r="21" spans="1:5" x14ac:dyDescent="0.25">
      <c r="A21" s="74" t="s">
        <v>79</v>
      </c>
    </row>
    <row r="22" spans="1:5" x14ac:dyDescent="0.25">
      <c r="A22" s="75" t="s">
        <v>64</v>
      </c>
      <c r="B22" s="75" t="s">
        <v>65</v>
      </c>
      <c r="C22" s="75" t="s">
        <v>73</v>
      </c>
      <c r="D22" s="75" t="s">
        <v>67</v>
      </c>
      <c r="E22" s="75" t="s">
        <v>74</v>
      </c>
    </row>
    <row r="23" spans="1:5" x14ac:dyDescent="0.25">
      <c r="A23" s="76" t="s">
        <v>75</v>
      </c>
      <c r="B23" s="77">
        <v>4457</v>
      </c>
      <c r="C23" s="78">
        <v>0.60199999999999998</v>
      </c>
      <c r="D23" s="77">
        <v>4733</v>
      </c>
      <c r="E23" s="78">
        <v>0.61699999999999999</v>
      </c>
    </row>
    <row r="24" spans="1:5" x14ac:dyDescent="0.25">
      <c r="A24" s="27"/>
      <c r="B24" s="27"/>
      <c r="C24" s="27"/>
      <c r="D24" s="27"/>
      <c r="E24" s="27"/>
    </row>
    <row r="25" spans="1:5" x14ac:dyDescent="0.25">
      <c r="A25" s="76" t="s">
        <v>76</v>
      </c>
      <c r="B25" s="77">
        <v>2257</v>
      </c>
      <c r="C25" s="78">
        <v>0.30499999999999999</v>
      </c>
      <c r="D25" s="77">
        <v>2253</v>
      </c>
      <c r="E25" s="78">
        <v>0.29399999999999998</v>
      </c>
    </row>
    <row r="26" spans="1:5" x14ac:dyDescent="0.25">
      <c r="A26" s="27"/>
      <c r="B26" s="27"/>
      <c r="C26" s="27"/>
      <c r="D26" s="27"/>
      <c r="E26" s="27"/>
    </row>
    <row r="27" spans="1:5" x14ac:dyDescent="0.25">
      <c r="A27" s="76" t="s">
        <v>77</v>
      </c>
      <c r="B27" s="27">
        <v>686</v>
      </c>
      <c r="C27" s="78">
        <v>9.1999999999999998E-2</v>
      </c>
      <c r="D27" s="27">
        <v>690</v>
      </c>
      <c r="E27" s="78">
        <v>0.09</v>
      </c>
    </row>
    <row r="30" spans="1:5" x14ac:dyDescent="0.25">
      <c r="A30" s="74" t="s">
        <v>80</v>
      </c>
    </row>
    <row r="31" spans="1:5" x14ac:dyDescent="0.25">
      <c r="A31" s="75" t="s">
        <v>64</v>
      </c>
      <c r="B31" s="75" t="s">
        <v>65</v>
      </c>
      <c r="C31" s="75" t="s">
        <v>73</v>
      </c>
      <c r="D31" s="75" t="s">
        <v>67</v>
      </c>
      <c r="E31" s="75" t="s">
        <v>74</v>
      </c>
    </row>
    <row r="32" spans="1:5" x14ac:dyDescent="0.25">
      <c r="A32" s="76" t="s">
        <v>75</v>
      </c>
      <c r="B32" s="77">
        <v>4355</v>
      </c>
      <c r="C32" s="78">
        <v>0.48399999999999999</v>
      </c>
      <c r="D32" s="77">
        <v>4335</v>
      </c>
      <c r="E32" s="78">
        <v>0.48299999999999998</v>
      </c>
    </row>
    <row r="33" spans="1:5" x14ac:dyDescent="0.25">
      <c r="A33" s="27"/>
      <c r="B33" s="27"/>
      <c r="C33" s="27"/>
      <c r="D33" s="27"/>
      <c r="E33" s="27"/>
    </row>
    <row r="34" spans="1:5" x14ac:dyDescent="0.25">
      <c r="A34" s="76" t="s">
        <v>76</v>
      </c>
      <c r="B34" s="77">
        <v>3586</v>
      </c>
      <c r="C34" s="78">
        <v>0.39800000000000002</v>
      </c>
      <c r="D34" s="77">
        <v>3587</v>
      </c>
      <c r="E34" s="78">
        <v>0.39900000000000002</v>
      </c>
    </row>
    <row r="35" spans="1:5" x14ac:dyDescent="0.25">
      <c r="A35" s="27"/>
      <c r="B35" s="27"/>
      <c r="C35" s="27"/>
      <c r="D35" s="27"/>
      <c r="E35" s="27"/>
    </row>
    <row r="36" spans="1:5" x14ac:dyDescent="0.25">
      <c r="A36" s="76" t="s">
        <v>77</v>
      </c>
      <c r="B36" s="77">
        <v>1059</v>
      </c>
      <c r="C36" s="81" t="s">
        <v>81</v>
      </c>
      <c r="D36" s="77">
        <v>1057</v>
      </c>
      <c r="E36" s="81" t="s">
        <v>81</v>
      </c>
    </row>
    <row r="39" spans="1:5" x14ac:dyDescent="0.25">
      <c r="A39" s="74" t="s">
        <v>82</v>
      </c>
    </row>
    <row r="40" spans="1:5" x14ac:dyDescent="0.25">
      <c r="A40" s="75" t="s">
        <v>64</v>
      </c>
      <c r="B40" s="75" t="s">
        <v>65</v>
      </c>
      <c r="C40" s="75" t="s">
        <v>73</v>
      </c>
      <c r="D40" s="75" t="s">
        <v>67</v>
      </c>
      <c r="E40" s="75" t="s">
        <v>74</v>
      </c>
    </row>
    <row r="41" spans="1:5" x14ac:dyDescent="0.25">
      <c r="A41" s="76" t="s">
        <v>75</v>
      </c>
      <c r="B41" s="77">
        <v>3233</v>
      </c>
      <c r="C41" s="78">
        <v>0.57699999999999996</v>
      </c>
      <c r="D41" s="77">
        <v>3196</v>
      </c>
      <c r="E41" s="78">
        <v>0.57399999999999995</v>
      </c>
    </row>
    <row r="42" spans="1:5" x14ac:dyDescent="0.25">
      <c r="A42" s="27"/>
      <c r="B42" s="27"/>
      <c r="C42" s="27"/>
      <c r="D42" s="27"/>
      <c r="E42" s="27"/>
    </row>
    <row r="43" spans="1:5" x14ac:dyDescent="0.25">
      <c r="A43" s="76" t="s">
        <v>76</v>
      </c>
      <c r="B43" s="77">
        <v>1944</v>
      </c>
      <c r="C43" s="78">
        <v>0.34699999999999998</v>
      </c>
      <c r="D43" s="77">
        <v>1943</v>
      </c>
      <c r="E43" s="78">
        <v>0.34899999999999998</v>
      </c>
    </row>
    <row r="44" spans="1:5" x14ac:dyDescent="0.25">
      <c r="A44" s="27"/>
      <c r="B44" s="27"/>
      <c r="C44" s="27"/>
      <c r="D44" s="27"/>
      <c r="E44" s="27"/>
    </row>
    <row r="45" spans="1:5" x14ac:dyDescent="0.25">
      <c r="A45" s="76" t="s">
        <v>77</v>
      </c>
      <c r="B45" s="27">
        <v>422</v>
      </c>
      <c r="C45" s="78">
        <v>7.4999999999999997E-2</v>
      </c>
      <c r="D45" s="27">
        <v>426</v>
      </c>
      <c r="E45" s="78">
        <v>7.5999999999999998E-2</v>
      </c>
    </row>
    <row r="48" spans="1:5" x14ac:dyDescent="0.25">
      <c r="A48" s="74" t="s">
        <v>83</v>
      </c>
    </row>
    <row r="49" spans="1:5" x14ac:dyDescent="0.25">
      <c r="A49" s="75" t="s">
        <v>64</v>
      </c>
      <c r="B49" s="75" t="s">
        <v>65</v>
      </c>
      <c r="C49" s="75" t="s">
        <v>73</v>
      </c>
      <c r="D49" s="75" t="s">
        <v>67</v>
      </c>
      <c r="E49" s="75" t="s">
        <v>74</v>
      </c>
    </row>
    <row r="50" spans="1:5" x14ac:dyDescent="0.25">
      <c r="A50" s="76" t="s">
        <v>75</v>
      </c>
      <c r="B50" s="77">
        <v>2585</v>
      </c>
      <c r="C50" s="78">
        <v>0.499</v>
      </c>
      <c r="D50" s="77">
        <v>2600</v>
      </c>
      <c r="E50" s="78">
        <v>0.499</v>
      </c>
    </row>
    <row r="51" spans="1:5" x14ac:dyDescent="0.25">
      <c r="A51" s="27"/>
      <c r="B51" s="27"/>
      <c r="C51" s="27"/>
      <c r="D51" s="27"/>
      <c r="E51" s="27"/>
    </row>
    <row r="52" spans="1:5" x14ac:dyDescent="0.25">
      <c r="A52" s="76" t="s">
        <v>76</v>
      </c>
      <c r="B52" s="77">
        <v>2084</v>
      </c>
      <c r="C52" s="78">
        <v>0.40300000000000002</v>
      </c>
      <c r="D52" s="77">
        <v>2071</v>
      </c>
      <c r="E52" s="78">
        <v>0.39800000000000002</v>
      </c>
    </row>
    <row r="53" spans="1:5" x14ac:dyDescent="0.25">
      <c r="A53" s="27"/>
      <c r="B53" s="27"/>
      <c r="C53" s="27"/>
      <c r="D53" s="27"/>
      <c r="E53" s="27"/>
    </row>
    <row r="54" spans="1:5" x14ac:dyDescent="0.25">
      <c r="A54" s="76" t="s">
        <v>77</v>
      </c>
      <c r="B54" s="27">
        <v>507</v>
      </c>
      <c r="C54" s="78">
        <v>9.8000000000000004E-2</v>
      </c>
      <c r="D54" s="27">
        <v>536</v>
      </c>
      <c r="E54" s="78">
        <v>0.10299999999999999</v>
      </c>
    </row>
    <row r="57" spans="1:5" x14ac:dyDescent="0.25">
      <c r="A57" s="74" t="s">
        <v>84</v>
      </c>
    </row>
    <row r="58" spans="1:5" x14ac:dyDescent="0.25">
      <c r="A58" s="75" t="s">
        <v>64</v>
      </c>
      <c r="B58" s="75" t="s">
        <v>65</v>
      </c>
      <c r="C58" s="75" t="s">
        <v>73</v>
      </c>
      <c r="D58" s="75" t="s">
        <v>67</v>
      </c>
      <c r="E58" s="75" t="s">
        <v>74</v>
      </c>
    </row>
    <row r="59" spans="1:5" x14ac:dyDescent="0.25">
      <c r="A59" s="76" t="s">
        <v>75</v>
      </c>
      <c r="B59" s="77">
        <v>2630</v>
      </c>
      <c r="C59" s="78">
        <v>0.52600000000000002</v>
      </c>
      <c r="D59" s="77">
        <v>2626</v>
      </c>
      <c r="E59" s="78">
        <v>0.52400000000000002</v>
      </c>
    </row>
    <row r="60" spans="1:5" x14ac:dyDescent="0.25">
      <c r="A60" s="27"/>
      <c r="B60" s="27"/>
      <c r="C60" s="27"/>
      <c r="D60" s="27"/>
      <c r="E60" s="27"/>
    </row>
    <row r="61" spans="1:5" x14ac:dyDescent="0.25">
      <c r="A61" s="76" t="s">
        <v>76</v>
      </c>
      <c r="B61" s="77">
        <v>2088</v>
      </c>
      <c r="C61" s="78">
        <v>0.41799999999999998</v>
      </c>
      <c r="D61" s="77">
        <v>2114</v>
      </c>
      <c r="E61" s="78">
        <v>0.42199999999999999</v>
      </c>
    </row>
    <row r="62" spans="1:5" x14ac:dyDescent="0.25">
      <c r="A62" s="27"/>
      <c r="B62" s="27"/>
      <c r="C62" s="27"/>
      <c r="D62" s="27"/>
      <c r="E62" s="27"/>
    </row>
    <row r="63" spans="1:5" x14ac:dyDescent="0.25">
      <c r="A63" s="76" t="s">
        <v>77</v>
      </c>
      <c r="B63" s="27">
        <v>278</v>
      </c>
      <c r="C63" s="78">
        <v>5.3999999999999999E-2</v>
      </c>
      <c r="D63" s="27">
        <v>273</v>
      </c>
      <c r="E63" s="78">
        <v>5.5E-2</v>
      </c>
    </row>
    <row r="66" spans="1:5" x14ac:dyDescent="0.25">
      <c r="A66" s="74" t="s">
        <v>85</v>
      </c>
    </row>
    <row r="67" spans="1:5" x14ac:dyDescent="0.25">
      <c r="A67" s="75" t="s">
        <v>64</v>
      </c>
      <c r="B67" s="75" t="s">
        <v>65</v>
      </c>
      <c r="C67" s="75" t="s">
        <v>73</v>
      </c>
      <c r="D67" s="75" t="s">
        <v>67</v>
      </c>
      <c r="E67" s="75" t="s">
        <v>74</v>
      </c>
    </row>
    <row r="68" spans="1:5" x14ac:dyDescent="0.25">
      <c r="A68" s="76" t="s">
        <v>75</v>
      </c>
      <c r="B68" s="77">
        <v>1441</v>
      </c>
      <c r="C68" s="78">
        <v>0.499</v>
      </c>
      <c r="D68" s="27">
        <v>1443</v>
      </c>
      <c r="E68" s="78">
        <v>0.498</v>
      </c>
    </row>
    <row r="69" spans="1:5" x14ac:dyDescent="0.25">
      <c r="A69" s="27"/>
      <c r="B69" s="27"/>
      <c r="C69" s="27"/>
      <c r="D69" s="27"/>
      <c r="E69" s="27"/>
    </row>
    <row r="70" spans="1:5" x14ac:dyDescent="0.25">
      <c r="A70" s="76" t="s">
        <v>76</v>
      </c>
      <c r="B70" s="77">
        <v>1275</v>
      </c>
      <c r="C70" s="78">
        <v>0.442</v>
      </c>
      <c r="D70" s="77">
        <v>1280</v>
      </c>
      <c r="E70" s="78">
        <v>0.442</v>
      </c>
    </row>
    <row r="71" spans="1:5" x14ac:dyDescent="0.25">
      <c r="A71" s="27"/>
      <c r="B71" s="27"/>
      <c r="C71" s="27"/>
      <c r="D71" s="27"/>
      <c r="E71" s="27"/>
    </row>
    <row r="72" spans="1:5" x14ac:dyDescent="0.25">
      <c r="A72" s="76" t="s">
        <v>71</v>
      </c>
      <c r="B72" s="27">
        <v>171</v>
      </c>
      <c r="C72" s="78">
        <v>5.8999999999999997E-2</v>
      </c>
      <c r="D72" s="27">
        <v>173</v>
      </c>
      <c r="E72" s="78">
        <v>6.0999999999999999E-2</v>
      </c>
    </row>
    <row r="75" spans="1:5" x14ac:dyDescent="0.25">
      <c r="A75" s="74" t="s">
        <v>86</v>
      </c>
    </row>
    <row r="76" spans="1:5" x14ac:dyDescent="0.25">
      <c r="A76" s="75" t="s">
        <v>64</v>
      </c>
      <c r="B76" s="75" t="s">
        <v>65</v>
      </c>
      <c r="C76" s="75" t="s">
        <v>73</v>
      </c>
      <c r="D76" s="75" t="s">
        <v>67</v>
      </c>
      <c r="E76" s="75" t="s">
        <v>74</v>
      </c>
    </row>
    <row r="77" spans="1:5" x14ac:dyDescent="0.25">
      <c r="A77" s="76" t="s">
        <v>75</v>
      </c>
      <c r="B77" s="77">
        <v>2746</v>
      </c>
      <c r="C77" s="78">
        <v>0.59399999999999997</v>
      </c>
      <c r="D77" s="77">
        <v>2735</v>
      </c>
      <c r="E77" s="78">
        <v>0.59199999999999997</v>
      </c>
    </row>
    <row r="78" spans="1:5" x14ac:dyDescent="0.25">
      <c r="A78" s="27"/>
      <c r="B78" s="27"/>
      <c r="C78" s="27"/>
      <c r="D78" s="27"/>
      <c r="E78" s="27"/>
    </row>
    <row r="79" spans="1:5" x14ac:dyDescent="0.25">
      <c r="A79" s="76" t="s">
        <v>76</v>
      </c>
      <c r="B79" s="77">
        <v>1623</v>
      </c>
      <c r="C79" s="78">
        <v>0.35099999999999998</v>
      </c>
      <c r="D79" s="77">
        <v>1630</v>
      </c>
      <c r="E79" s="78">
        <v>0.35299999999999998</v>
      </c>
    </row>
    <row r="80" spans="1:5" x14ac:dyDescent="0.25">
      <c r="A80" s="27"/>
      <c r="B80" s="27"/>
      <c r="C80" s="27"/>
      <c r="D80" s="27"/>
      <c r="E80" s="27"/>
    </row>
    <row r="81" spans="1:5" x14ac:dyDescent="0.25">
      <c r="A81" s="76" t="s">
        <v>77</v>
      </c>
      <c r="B81" s="27">
        <v>254</v>
      </c>
      <c r="C81" s="78">
        <v>5.5E-2</v>
      </c>
      <c r="D81" s="27">
        <v>253</v>
      </c>
      <c r="E81" s="78" t="s">
        <v>87</v>
      </c>
    </row>
    <row r="84" spans="1:5" x14ac:dyDescent="0.25">
      <c r="A84" s="74" t="s">
        <v>88</v>
      </c>
    </row>
    <row r="85" spans="1:5" x14ac:dyDescent="0.25">
      <c r="A85" s="75" t="s">
        <v>64</v>
      </c>
      <c r="B85" s="75" t="s">
        <v>65</v>
      </c>
      <c r="C85" s="75" t="s">
        <v>73</v>
      </c>
      <c r="D85" s="75" t="s">
        <v>67</v>
      </c>
      <c r="E85" s="75" t="s">
        <v>74</v>
      </c>
    </row>
    <row r="86" spans="1:5" x14ac:dyDescent="0.25">
      <c r="A86" s="76" t="s">
        <v>75</v>
      </c>
      <c r="B86" s="77">
        <v>1590</v>
      </c>
      <c r="C86" s="78">
        <v>0.45300000000000001</v>
      </c>
      <c r="D86" s="77">
        <v>1616</v>
      </c>
      <c r="E86" s="78">
        <v>0.45700000000000002</v>
      </c>
    </row>
    <row r="87" spans="1:5" x14ac:dyDescent="0.25">
      <c r="A87" s="27"/>
      <c r="B87" s="27"/>
      <c r="C87" s="27"/>
      <c r="D87" s="27"/>
      <c r="E87" s="27"/>
    </row>
    <row r="88" spans="1:5" x14ac:dyDescent="0.25">
      <c r="A88" s="76" t="s">
        <v>76</v>
      </c>
      <c r="B88" s="77">
        <v>1595</v>
      </c>
      <c r="C88" s="78">
        <v>0.45500000000000002</v>
      </c>
      <c r="D88" s="77">
        <v>1619</v>
      </c>
      <c r="E88" s="78">
        <v>0.45800000000000002</v>
      </c>
    </row>
    <row r="89" spans="1:5" x14ac:dyDescent="0.25">
      <c r="A89" s="27"/>
      <c r="B89" s="27"/>
      <c r="C89" s="27"/>
      <c r="D89" s="27"/>
      <c r="E89" s="27"/>
    </row>
    <row r="90" spans="1:5" x14ac:dyDescent="0.25">
      <c r="A90" s="76" t="s">
        <v>77</v>
      </c>
      <c r="B90" s="27">
        <v>324</v>
      </c>
      <c r="C90" s="78">
        <v>9.1999999999999998E-2</v>
      </c>
      <c r="D90" s="27">
        <v>302</v>
      </c>
      <c r="E90" s="78" t="s">
        <v>89</v>
      </c>
    </row>
    <row r="93" spans="1:5" x14ac:dyDescent="0.25">
      <c r="A93" s="74" t="s">
        <v>90</v>
      </c>
    </row>
    <row r="94" spans="1:5" x14ac:dyDescent="0.25">
      <c r="A94" s="75" t="s">
        <v>64</v>
      </c>
      <c r="B94" s="75" t="s">
        <v>65</v>
      </c>
      <c r="C94" s="75" t="s">
        <v>73</v>
      </c>
      <c r="D94" s="75" t="s">
        <v>67</v>
      </c>
      <c r="E94" s="75" t="s">
        <v>74</v>
      </c>
    </row>
    <row r="95" spans="1:5" x14ac:dyDescent="0.25">
      <c r="A95" s="76" t="s">
        <v>75</v>
      </c>
      <c r="B95" s="77">
        <v>1566</v>
      </c>
      <c r="C95" s="78">
        <v>0.64300000000000002</v>
      </c>
      <c r="D95" s="77">
        <v>1570</v>
      </c>
      <c r="E95" s="78">
        <v>0.64300000000000002</v>
      </c>
    </row>
    <row r="96" spans="1:5" x14ac:dyDescent="0.25">
      <c r="A96" s="27"/>
      <c r="B96" s="27"/>
      <c r="C96" s="27"/>
      <c r="D96" s="27"/>
      <c r="E96" s="27"/>
    </row>
    <row r="97" spans="1:5" x14ac:dyDescent="0.25">
      <c r="A97" s="76" t="s">
        <v>76</v>
      </c>
      <c r="B97" s="27">
        <v>639</v>
      </c>
      <c r="C97" s="78">
        <v>0.26200000000000001</v>
      </c>
      <c r="D97" s="27">
        <v>640</v>
      </c>
      <c r="E97" s="78">
        <v>0.26200000000000001</v>
      </c>
    </row>
    <row r="98" spans="1:5" x14ac:dyDescent="0.25">
      <c r="A98" s="27"/>
      <c r="B98" s="27"/>
      <c r="C98" s="27"/>
      <c r="D98" s="27"/>
      <c r="E98" s="27"/>
    </row>
    <row r="99" spans="1:5" x14ac:dyDescent="0.25">
      <c r="A99" s="76" t="s">
        <v>77</v>
      </c>
      <c r="B99" s="27">
        <v>232</v>
      </c>
      <c r="C99" s="78">
        <v>9.5000000000000001E-2</v>
      </c>
      <c r="D99" s="27">
        <v>232</v>
      </c>
      <c r="E99" s="81">
        <v>9.4E-2</v>
      </c>
    </row>
    <row r="102" spans="1:5" x14ac:dyDescent="0.25">
      <c r="A102" s="74" t="s">
        <v>91</v>
      </c>
    </row>
    <row r="103" spans="1:5" x14ac:dyDescent="0.25">
      <c r="A103" s="75" t="s">
        <v>64</v>
      </c>
      <c r="B103" s="75" t="s">
        <v>65</v>
      </c>
      <c r="C103" s="75" t="s">
        <v>73</v>
      </c>
      <c r="D103" s="75" t="s">
        <v>67</v>
      </c>
      <c r="E103" s="75" t="s">
        <v>74</v>
      </c>
    </row>
    <row r="104" spans="1:5" x14ac:dyDescent="0.25">
      <c r="A104" s="76" t="s">
        <v>75</v>
      </c>
      <c r="B104" s="77">
        <v>1708</v>
      </c>
      <c r="C104" s="78">
        <v>0.52900000000000003</v>
      </c>
      <c r="D104" s="77">
        <v>1704</v>
      </c>
      <c r="E104" s="78">
        <v>0.52700000000000002</v>
      </c>
    </row>
    <row r="105" spans="1:5" x14ac:dyDescent="0.25">
      <c r="A105" s="27"/>
      <c r="B105" s="27"/>
      <c r="C105" s="27"/>
      <c r="D105" s="27"/>
      <c r="E105" s="27"/>
    </row>
    <row r="106" spans="1:5" x14ac:dyDescent="0.25">
      <c r="A106" s="76" t="s">
        <v>76</v>
      </c>
      <c r="B106" s="77">
        <v>1319</v>
      </c>
      <c r="C106" s="78">
        <v>0.40899999999999997</v>
      </c>
      <c r="D106" s="77">
        <v>1329</v>
      </c>
      <c r="E106" s="78">
        <v>0.41099999999999998</v>
      </c>
    </row>
    <row r="107" spans="1:5" x14ac:dyDescent="0.25">
      <c r="A107" s="27"/>
      <c r="B107" s="27"/>
      <c r="C107" s="27"/>
      <c r="D107" s="27"/>
      <c r="E107" s="27"/>
    </row>
    <row r="108" spans="1:5" x14ac:dyDescent="0.25">
      <c r="A108" s="76" t="s">
        <v>77</v>
      </c>
      <c r="B108" s="27">
        <v>200</v>
      </c>
      <c r="C108" s="78">
        <v>6.2E-2</v>
      </c>
      <c r="D108" s="27">
        <v>200</v>
      </c>
      <c r="E108" s="78" t="s">
        <v>92</v>
      </c>
    </row>
    <row r="111" spans="1:5" x14ac:dyDescent="0.25">
      <c r="A111" s="74" t="s">
        <v>93</v>
      </c>
    </row>
    <row r="112" spans="1:5" x14ac:dyDescent="0.25">
      <c r="A112" s="75" t="s">
        <v>64</v>
      </c>
      <c r="B112" s="75" t="s">
        <v>65</v>
      </c>
      <c r="C112" s="75" t="s">
        <v>73</v>
      </c>
      <c r="D112" s="75" t="s">
        <v>67</v>
      </c>
      <c r="E112" s="75" t="s">
        <v>74</v>
      </c>
    </row>
    <row r="113" spans="1:5" x14ac:dyDescent="0.25">
      <c r="A113" s="76" t="s">
        <v>75</v>
      </c>
      <c r="B113" s="77">
        <v>1372</v>
      </c>
      <c r="C113" s="78">
        <v>0.503</v>
      </c>
      <c r="D113" s="77">
        <v>1378</v>
      </c>
      <c r="E113" s="78">
        <v>0.502</v>
      </c>
    </row>
    <row r="114" spans="1:5" x14ac:dyDescent="0.25">
      <c r="A114" s="27"/>
      <c r="B114" s="27"/>
      <c r="C114" s="27"/>
      <c r="D114" s="27"/>
      <c r="E114" s="27"/>
    </row>
    <row r="115" spans="1:5" x14ac:dyDescent="0.25">
      <c r="A115" s="76" t="s">
        <v>76</v>
      </c>
      <c r="B115" s="77">
        <v>1179</v>
      </c>
      <c r="C115" s="78">
        <v>0.433</v>
      </c>
      <c r="D115" s="77">
        <v>1187</v>
      </c>
      <c r="E115" s="78">
        <v>0.433</v>
      </c>
    </row>
    <row r="116" spans="1:5" x14ac:dyDescent="0.25">
      <c r="A116" s="27"/>
      <c r="B116" s="27"/>
      <c r="C116" s="27"/>
      <c r="D116" s="27"/>
      <c r="E116" s="27"/>
    </row>
    <row r="117" spans="1:5" x14ac:dyDescent="0.25">
      <c r="A117" s="76" t="s">
        <v>77</v>
      </c>
      <c r="B117" s="27">
        <v>174</v>
      </c>
      <c r="C117" s="78">
        <v>6.4000000000000001E-2</v>
      </c>
      <c r="D117" s="27">
        <v>178</v>
      </c>
      <c r="E117" s="78">
        <v>6.4000000000000001E-2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Votos por partido</vt:lpstr>
      <vt:lpstr>Resumen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Mirta Griselda Cabezas</dc:creator>
  <cp:lastModifiedBy>Bruno Ramirez</cp:lastModifiedBy>
  <cp:lastPrinted>2021-09-15T16:33:58Z</cp:lastPrinted>
  <dcterms:created xsi:type="dcterms:W3CDTF">2021-09-15T14:54:34Z</dcterms:created>
  <dcterms:modified xsi:type="dcterms:W3CDTF">2021-09-17T12:47:10Z</dcterms:modified>
</cp:coreProperties>
</file>